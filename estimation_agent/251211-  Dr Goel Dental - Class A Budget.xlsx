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01 Jobs\25-1360 Dr Goel Dental Clinic\01 Estimate\E-3041 Dr Goel Dental Clinic\02 AG Documents\"/>
    </mc:Choice>
  </mc:AlternateContent>
  <xr:revisionPtr revIDLastSave="0" documentId="13_ncr:1_{5028F6A2-423C-45C6-9FD5-339779C7FDAE}" xr6:coauthVersionLast="47" xr6:coauthVersionMax="47" xr10:uidLastSave="{00000000-0000-0000-0000-000000000000}"/>
  <bookViews>
    <workbookView xWindow="-120" yWindow="-120" windowWidth="29040" windowHeight="15720" tabRatio="920" firstSheet="4" activeTab="4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</sheet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'2'!$A$1:$K$48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'26'!$A$1:$K$28</definedName>
    <definedName name="_xlnm.Print_Area" localSheetId="25">'27'!$A$1:$K$26</definedName>
    <definedName name="_xlnm.Print_Area" localSheetId="26">'28'!$A$1:$K$26</definedName>
    <definedName name="_xlnm.Print_Area" localSheetId="8">'3'!$A$1:$K$46</definedName>
    <definedName name="_xlnm.Print_Area" localSheetId="27">'31'!$A$1:$K$28</definedName>
    <definedName name="_xlnm.Print_Area" localSheetId="28">'32'!$A$1:$K$23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'6'!$A$1:$K$57</definedName>
    <definedName name="_xlnm.Print_Area" localSheetId="12">'7'!$A$1:$K$21</definedName>
    <definedName name="_xlnm.Print_Area" localSheetId="13">'8'!$A$1:$K$23</definedName>
    <definedName name="_xlnm.Print_Area" localSheetId="14">'9'!$A$1:$K$30</definedName>
    <definedName name="_xlnm.Print_Area" localSheetId="4">'Client  Detailed Summary '!$B$1:$H$162</definedName>
    <definedName name="_xlnm.Print_Area" localSheetId="5">'Estimate Summary'!$A$1:$J$87</definedName>
    <definedName name="_xlnm.Print_Area" localSheetId="3">'Estimate Version Comparison'!$A$1:$K$165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F44" i="29" l="1"/>
  <c r="M23" i="29"/>
  <c r="J59" i="30"/>
  <c r="J13" i="69"/>
  <c r="J11" i="16"/>
  <c r="G161" i="77"/>
  <c r="J12" i="67"/>
  <c r="J11" i="22"/>
  <c r="F32" i="25"/>
  <c r="K32" i="25" s="1"/>
  <c r="J28" i="43"/>
  <c r="K59" i="79"/>
  <c r="K47" i="79"/>
  <c r="J59" i="79"/>
  <c r="J47" i="79"/>
  <c r="J39" i="22" l="1"/>
  <c r="J13" i="15"/>
  <c r="J39" i="25"/>
  <c r="J15" i="29"/>
  <c r="J13" i="29"/>
  <c r="M15" i="29"/>
  <c r="J78" i="75"/>
  <c r="J79" i="75"/>
  <c r="J11" i="67"/>
  <c r="C40" i="22"/>
  <c r="J13" i="75"/>
  <c r="J57" i="22"/>
  <c r="J56" i="22"/>
  <c r="J75" i="24"/>
  <c r="C45" i="25" l="1"/>
  <c r="I48" i="25"/>
  <c r="F48" i="25"/>
  <c r="K48" i="25" s="1"/>
  <c r="I47" i="25"/>
  <c r="K47" i="25"/>
  <c r="I46" i="25"/>
  <c r="I45" i="25"/>
  <c r="K45" i="25"/>
  <c r="C40" i="25"/>
  <c r="G13" i="75"/>
  <c r="E13" i="69"/>
  <c r="E13" i="15"/>
  <c r="K46" i="25" l="1"/>
  <c r="C13" i="15" l="1"/>
  <c r="C11" i="70"/>
  <c r="J16" i="30" l="1"/>
  <c r="J19" i="30"/>
  <c r="M19" i="30"/>
  <c r="C13" i="69"/>
  <c r="C11" i="67"/>
  <c r="C11" i="16" l="1"/>
  <c r="M29" i="49" l="1"/>
  <c r="C28" i="43"/>
  <c r="E34" i="43"/>
  <c r="C13" i="29" l="1"/>
  <c r="A65" i="22" l="1"/>
  <c r="F91" i="30"/>
  <c r="K91" i="30" s="1"/>
  <c r="I102" i="30"/>
  <c r="C102" i="30"/>
  <c r="F102" i="30" s="1"/>
  <c r="K11" i="78"/>
  <c r="H11" i="78"/>
  <c r="D11" i="78"/>
  <c r="C11" i="78"/>
  <c r="B11" i="78"/>
  <c r="A11" i="78"/>
  <c r="K102" i="30" l="1"/>
  <c r="J97" i="73"/>
  <c r="J57" i="74"/>
  <c r="J99" i="50" l="1"/>
  <c r="T11" i="78" l="1"/>
  <c r="S11" i="78"/>
  <c r="R11" i="78"/>
  <c r="N11" i="78"/>
  <c r="J11" i="78"/>
  <c r="G11" i="78"/>
  <c r="F11" i="78"/>
  <c r="E11" i="78"/>
  <c r="H7" i="79" l="1"/>
  <c r="E151" i="79"/>
  <c r="E146" i="79"/>
  <c r="E140" i="79"/>
  <c r="E134" i="79"/>
  <c r="E127" i="79"/>
  <c r="E122" i="79"/>
  <c r="E110" i="79"/>
  <c r="E105" i="79"/>
  <c r="E102" i="79"/>
  <c r="E98" i="79"/>
  <c r="E92" i="79"/>
  <c r="E86" i="79"/>
  <c r="E76" i="79"/>
  <c r="E68" i="79"/>
  <c r="E59" i="79"/>
  <c r="E47" i="79"/>
  <c r="E41" i="79"/>
  <c r="E35" i="79"/>
  <c r="E31" i="79"/>
  <c r="E24" i="79"/>
  <c r="E19" i="79"/>
  <c r="E8" i="79"/>
  <c r="C4" i="79"/>
  <c r="B3" i="79"/>
  <c r="B2" i="79"/>
  <c r="B3" i="77"/>
  <c r="D160" i="79" l="1"/>
  <c r="G57" i="74"/>
  <c r="G69" i="72"/>
  <c r="J69" i="72"/>
  <c r="G55" i="71"/>
  <c r="J55" i="71"/>
  <c r="G57" i="69" l="1"/>
  <c r="J57" i="69"/>
  <c r="G65" i="22" l="1"/>
  <c r="J65" i="22"/>
  <c r="I41" i="22"/>
  <c r="F41" i="22"/>
  <c r="I40" i="22"/>
  <c r="F40" i="22"/>
  <c r="I39" i="22"/>
  <c r="I38" i="22"/>
  <c r="F38" i="22"/>
  <c r="K40" i="22" l="1"/>
  <c r="E100" i="81" s="1"/>
  <c r="K41" i="22"/>
  <c r="E101" i="81" s="1"/>
  <c r="K38" i="22"/>
  <c r="E98" i="81" s="1"/>
  <c r="Y41" i="28"/>
  <c r="Y47" i="28" s="1"/>
  <c r="C43" i="28" s="1"/>
  <c r="F43" i="28" s="1"/>
  <c r="I43" i="28"/>
  <c r="C51" i="28"/>
  <c r="C50" i="28"/>
  <c r="G139" i="30"/>
  <c r="J77" i="26"/>
  <c r="G77" i="26"/>
  <c r="I41" i="28"/>
  <c r="G78" i="28"/>
  <c r="J78" i="28"/>
  <c r="Y39" i="28"/>
  <c r="I44" i="28"/>
  <c r="F44" i="28"/>
  <c r="I45" i="28"/>
  <c r="K43" i="28" l="1"/>
  <c r="K44" i="28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K118" i="30" l="1"/>
  <c r="K120" i="30" s="1"/>
  <c r="Y38" i="28" l="1"/>
  <c r="Y36" i="28"/>
  <c r="Y35" i="28"/>
  <c r="Y34" i="28"/>
  <c r="Y32" i="28"/>
  <c r="Y31" i="28"/>
  <c r="G98" i="25"/>
  <c r="J98" i="25"/>
  <c r="Y46" i="28" l="1"/>
  <c r="C42" i="28" s="1"/>
  <c r="Y44" i="28"/>
  <c r="C40" i="28" s="1"/>
  <c r="Y45" i="28"/>
  <c r="C41" i="28" s="1"/>
  <c r="F41" i="28" s="1"/>
  <c r="K41" i="28" s="1"/>
  <c r="C45" i="28" l="1"/>
  <c r="F45" i="28" s="1"/>
  <c r="K45" i="28" s="1"/>
  <c r="G51" i="29"/>
  <c r="J51" i="29"/>
  <c r="I35" i="29"/>
  <c r="F35" i="29"/>
  <c r="K35" i="29" s="1"/>
  <c r="I34" i="29"/>
  <c r="F34" i="29"/>
  <c r="K34" i="29" s="1"/>
  <c r="I33" i="29"/>
  <c r="F33" i="29"/>
  <c r="I32" i="29"/>
  <c r="F32" i="29"/>
  <c r="K32" i="29" s="1"/>
  <c r="I31" i="29"/>
  <c r="F31" i="29"/>
  <c r="I30" i="29"/>
  <c r="F30" i="29"/>
  <c r="K30" i="29" s="1"/>
  <c r="I29" i="29"/>
  <c r="F29" i="29"/>
  <c r="J88" i="79"/>
  <c r="K33" i="29" l="1"/>
  <c r="K29" i="29"/>
  <c r="K31" i="29"/>
  <c r="K88" i="79"/>
  <c r="K37" i="29" l="1"/>
  <c r="G181" i="30"/>
  <c r="G180" i="30"/>
  <c r="F179" i="30"/>
  <c r="G179" i="30" s="1"/>
  <c r="G177" i="30"/>
  <c r="G176" i="30"/>
  <c r="G174" i="30"/>
  <c r="K171" i="30"/>
  <c r="M160" i="30" s="1"/>
  <c r="G21" i="79" l="1"/>
  <c r="E31" i="81"/>
  <c r="D17" i="80"/>
  <c r="G21" i="77"/>
  <c r="C5" i="77"/>
  <c r="B87" i="1" l="1"/>
  <c r="D11" i="1" l="1"/>
  <c r="I11" i="78" s="1"/>
  <c r="J6" i="30" l="1"/>
  <c r="C40" i="30" l="1"/>
  <c r="C94" i="30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0" i="30"/>
  <c r="F30" i="30" s="1"/>
  <c r="D172" i="30"/>
  <c r="F131" i="30"/>
  <c r="F132" i="30"/>
  <c r="F133" i="30"/>
  <c r="E6" i="30"/>
  <c r="C134" i="30" s="1"/>
  <c r="F134" i="30" s="1"/>
  <c r="F123" i="30"/>
  <c r="F124" i="30"/>
  <c r="F125" i="30"/>
  <c r="F126" i="30"/>
  <c r="F100" i="30"/>
  <c r="F101" i="30"/>
  <c r="E15" i="1"/>
  <c r="E17" i="1"/>
  <c r="E19" i="1"/>
  <c r="G68" i="42"/>
  <c r="E21" i="1" s="1"/>
  <c r="E23" i="1"/>
  <c r="E25" i="1"/>
  <c r="G93" i="24"/>
  <c r="E27" i="1" s="1"/>
  <c r="G108" i="75"/>
  <c r="E29" i="1" s="1"/>
  <c r="E31" i="1"/>
  <c r="G74" i="43"/>
  <c r="E33" i="1" s="1"/>
  <c r="G99" i="66"/>
  <c r="E35" i="1" s="1"/>
  <c r="G99" i="49"/>
  <c r="E37" i="1" s="1"/>
  <c r="G99" i="50"/>
  <c r="E39" i="1" s="1"/>
  <c r="E96" i="79" s="1"/>
  <c r="G99" i="45"/>
  <c r="E41" i="1" s="1"/>
  <c r="G99" i="16"/>
  <c r="E43" i="1" s="1"/>
  <c r="G94" i="15"/>
  <c r="E45" i="1" s="1"/>
  <c r="G102" i="67"/>
  <c r="E47" i="1" s="1"/>
  <c r="G54" i="68"/>
  <c r="E49" i="1" s="1"/>
  <c r="E120" i="79" s="1"/>
  <c r="E51" i="1"/>
  <c r="G99" i="70"/>
  <c r="E53" i="1" s="1"/>
  <c r="E55" i="1"/>
  <c r="E57" i="1"/>
  <c r="G97" i="73"/>
  <c r="E59" i="1" s="1"/>
  <c r="E61" i="1"/>
  <c r="F90" i="30"/>
  <c r="F92" i="30"/>
  <c r="K13" i="29"/>
  <c r="F14" i="29"/>
  <c r="F15" i="29"/>
  <c r="F16" i="29"/>
  <c r="F17" i="29"/>
  <c r="K17" i="29" s="1"/>
  <c r="F18" i="29"/>
  <c r="F19" i="29"/>
  <c r="F20" i="29"/>
  <c r="F21" i="29"/>
  <c r="K21" i="29" s="1"/>
  <c r="F22" i="29"/>
  <c r="F23" i="29"/>
  <c r="F24" i="29"/>
  <c r="K24" i="29" s="1"/>
  <c r="F40" i="29"/>
  <c r="K40" i="29" s="1"/>
  <c r="F41" i="29"/>
  <c r="K41" i="29" s="1"/>
  <c r="F42" i="29"/>
  <c r="K44" i="29"/>
  <c r="F45" i="29"/>
  <c r="F46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40" i="29"/>
  <c r="I41" i="29"/>
  <c r="I42" i="29"/>
  <c r="I43" i="29"/>
  <c r="I44" i="29"/>
  <c r="I45" i="29"/>
  <c r="I46" i="29"/>
  <c r="G17" i="1"/>
  <c r="F71" i="28"/>
  <c r="F72" i="28"/>
  <c r="F73" i="28"/>
  <c r="F58" i="28"/>
  <c r="F59" i="28"/>
  <c r="F60" i="28"/>
  <c r="F61" i="28"/>
  <c r="F62" i="28"/>
  <c r="K62" i="28" s="1"/>
  <c r="F63" i="28"/>
  <c r="F64" i="28"/>
  <c r="F49" i="28"/>
  <c r="F50" i="28"/>
  <c r="F51" i="28"/>
  <c r="F52" i="28"/>
  <c r="F53" i="28"/>
  <c r="F40" i="28"/>
  <c r="F42" i="28"/>
  <c r="F30" i="28"/>
  <c r="F31" i="28"/>
  <c r="F32" i="28"/>
  <c r="F33" i="28"/>
  <c r="F34" i="28"/>
  <c r="F35" i="28"/>
  <c r="F14" i="28"/>
  <c r="F15" i="28"/>
  <c r="F16" i="28"/>
  <c r="F17" i="28"/>
  <c r="F18" i="28"/>
  <c r="F19" i="28"/>
  <c r="F20" i="28"/>
  <c r="F69" i="28"/>
  <c r="F70" i="28"/>
  <c r="I71" i="28"/>
  <c r="K71" i="28" s="1"/>
  <c r="I72" i="28"/>
  <c r="I73" i="28"/>
  <c r="I58" i="28"/>
  <c r="I59" i="28"/>
  <c r="I60" i="28"/>
  <c r="I61" i="28"/>
  <c r="I62" i="28"/>
  <c r="I63" i="28"/>
  <c r="I64" i="28"/>
  <c r="I49" i="28"/>
  <c r="I50" i="28"/>
  <c r="I51" i="28"/>
  <c r="I52" i="28"/>
  <c r="I53" i="28"/>
  <c r="I40" i="28"/>
  <c r="I42" i="28"/>
  <c r="I30" i="28"/>
  <c r="K30" i="28" s="1"/>
  <c r="I31" i="28"/>
  <c r="K31" i="28" s="1"/>
  <c r="I32" i="28"/>
  <c r="I33" i="28"/>
  <c r="I34" i="28"/>
  <c r="K34" i="28" s="1"/>
  <c r="I35" i="28"/>
  <c r="K35" i="28" s="1"/>
  <c r="I14" i="28"/>
  <c r="I15" i="28"/>
  <c r="I16" i="28"/>
  <c r="I17" i="28"/>
  <c r="I18" i="28"/>
  <c r="I19" i="28"/>
  <c r="I20" i="28"/>
  <c r="I69" i="28"/>
  <c r="I70" i="28"/>
  <c r="G19" i="1"/>
  <c r="F57" i="42"/>
  <c r="F58" i="42"/>
  <c r="F59" i="42"/>
  <c r="F60" i="42"/>
  <c r="F61" i="42"/>
  <c r="F62" i="42"/>
  <c r="K62" i="42" s="1"/>
  <c r="F63" i="42"/>
  <c r="F48" i="42"/>
  <c r="K48" i="42" s="1"/>
  <c r="F49" i="42"/>
  <c r="K49" i="42" s="1"/>
  <c r="F50" i="42"/>
  <c r="K50" i="42" s="1"/>
  <c r="F51" i="42"/>
  <c r="F52" i="42"/>
  <c r="F40" i="42"/>
  <c r="F41" i="42"/>
  <c r="F42" i="42"/>
  <c r="F29" i="42"/>
  <c r="F30" i="42"/>
  <c r="K30" i="42" s="1"/>
  <c r="F31" i="42"/>
  <c r="F32" i="42"/>
  <c r="F33" i="42"/>
  <c r="K33" i="42" s="1"/>
  <c r="F34" i="42"/>
  <c r="F35" i="42"/>
  <c r="K35" i="42" s="1"/>
  <c r="F13" i="42"/>
  <c r="F14" i="42"/>
  <c r="K14" i="42" s="1"/>
  <c r="F15" i="42"/>
  <c r="F16" i="42"/>
  <c r="K16" i="42" s="1"/>
  <c r="F17" i="42"/>
  <c r="F18" i="42"/>
  <c r="K18" i="42" s="1"/>
  <c r="F19" i="42"/>
  <c r="F20" i="42"/>
  <c r="K20" i="42" s="1"/>
  <c r="F21" i="42"/>
  <c r="F22" i="42"/>
  <c r="F23" i="42"/>
  <c r="F24" i="42"/>
  <c r="I57" i="42"/>
  <c r="I58" i="42"/>
  <c r="I59" i="42"/>
  <c r="I60" i="42"/>
  <c r="I61" i="42"/>
  <c r="I62" i="42"/>
  <c r="I63" i="42"/>
  <c r="I48" i="42"/>
  <c r="I49" i="42"/>
  <c r="I50" i="42"/>
  <c r="I51" i="42"/>
  <c r="I52" i="42"/>
  <c r="K52" i="42" s="1"/>
  <c r="I40" i="42"/>
  <c r="K40" i="42" s="1"/>
  <c r="I41" i="42"/>
  <c r="K41" i="42" s="1"/>
  <c r="I42" i="42"/>
  <c r="I29" i="42"/>
  <c r="K29" i="42" s="1"/>
  <c r="I30" i="42"/>
  <c r="I31" i="42"/>
  <c r="I32" i="42"/>
  <c r="I33" i="42"/>
  <c r="I34" i="42"/>
  <c r="I35" i="42"/>
  <c r="I13" i="42"/>
  <c r="I14" i="42"/>
  <c r="I15" i="42"/>
  <c r="I16" i="42"/>
  <c r="I17" i="42"/>
  <c r="I18" i="42"/>
  <c r="I19" i="42"/>
  <c r="I20" i="42"/>
  <c r="I21" i="42"/>
  <c r="I22" i="42"/>
  <c r="K22" i="42" s="1"/>
  <c r="I23" i="42"/>
  <c r="K23" i="42" s="1"/>
  <c r="I24" i="42"/>
  <c r="K24" i="42" s="1"/>
  <c r="J68" i="42"/>
  <c r="G21" i="1" s="1"/>
  <c r="F68" i="26"/>
  <c r="F69" i="26"/>
  <c r="F70" i="26"/>
  <c r="F71" i="26"/>
  <c r="F72" i="26"/>
  <c r="F57" i="26"/>
  <c r="F58" i="26"/>
  <c r="K58" i="26" s="1"/>
  <c r="F59" i="26"/>
  <c r="F60" i="26"/>
  <c r="F61" i="26"/>
  <c r="K61" i="26" s="1"/>
  <c r="F62" i="26"/>
  <c r="K62" i="26" s="1"/>
  <c r="F63" i="26"/>
  <c r="F48" i="26"/>
  <c r="F49" i="26"/>
  <c r="F50" i="26"/>
  <c r="F51" i="26"/>
  <c r="F52" i="26"/>
  <c r="F40" i="26"/>
  <c r="K40" i="26" s="1"/>
  <c r="F41" i="26"/>
  <c r="K41" i="26" s="1"/>
  <c r="F42" i="26"/>
  <c r="F29" i="26"/>
  <c r="K29" i="26" s="1"/>
  <c r="F30" i="26"/>
  <c r="F31" i="26"/>
  <c r="F32" i="26"/>
  <c r="F33" i="26"/>
  <c r="F34" i="26"/>
  <c r="F35" i="26"/>
  <c r="F13" i="26"/>
  <c r="F14" i="26"/>
  <c r="F15" i="26"/>
  <c r="F16" i="26"/>
  <c r="F17" i="26"/>
  <c r="F18" i="26"/>
  <c r="F19" i="26"/>
  <c r="F20" i="26"/>
  <c r="F21" i="26"/>
  <c r="F22" i="26"/>
  <c r="K22" i="26" s="1"/>
  <c r="F23" i="26"/>
  <c r="K23" i="26" s="1"/>
  <c r="F24" i="26"/>
  <c r="K24" i="26" s="1"/>
  <c r="I68" i="26"/>
  <c r="I69" i="26"/>
  <c r="K69" i="26" s="1"/>
  <c r="I70" i="26"/>
  <c r="I71" i="26"/>
  <c r="I72" i="26"/>
  <c r="I57" i="26"/>
  <c r="I58" i="26"/>
  <c r="I59" i="26"/>
  <c r="I60" i="26"/>
  <c r="K60" i="26" s="1"/>
  <c r="I61" i="26"/>
  <c r="I62" i="26"/>
  <c r="I63" i="26"/>
  <c r="I48" i="26"/>
  <c r="I49" i="26"/>
  <c r="I50" i="26"/>
  <c r="I51" i="26"/>
  <c r="I52" i="26"/>
  <c r="I40" i="26"/>
  <c r="I41" i="26"/>
  <c r="I42" i="26"/>
  <c r="I29" i="26"/>
  <c r="I30" i="26"/>
  <c r="K30" i="26" s="1"/>
  <c r="I31" i="26"/>
  <c r="I32" i="26"/>
  <c r="I33" i="26"/>
  <c r="I34" i="26"/>
  <c r="I35" i="26"/>
  <c r="I13" i="26"/>
  <c r="I14" i="26"/>
  <c r="K14" i="26" s="1"/>
  <c r="I15" i="26"/>
  <c r="I16" i="26"/>
  <c r="I17" i="26"/>
  <c r="I18" i="26"/>
  <c r="I19" i="26"/>
  <c r="I20" i="26"/>
  <c r="I21" i="26"/>
  <c r="I22" i="26"/>
  <c r="I23" i="26"/>
  <c r="I24" i="26"/>
  <c r="G23" i="1"/>
  <c r="F91" i="25"/>
  <c r="F92" i="25"/>
  <c r="F93" i="25"/>
  <c r="K93" i="25" s="1"/>
  <c r="F82" i="25"/>
  <c r="F83" i="25"/>
  <c r="F84" i="25"/>
  <c r="F85" i="25"/>
  <c r="F86" i="25"/>
  <c r="F71" i="25"/>
  <c r="F72" i="25"/>
  <c r="F73" i="25"/>
  <c r="F74" i="25"/>
  <c r="F75" i="25"/>
  <c r="F76" i="25"/>
  <c r="F77" i="25"/>
  <c r="F62" i="25"/>
  <c r="F63" i="25"/>
  <c r="F64" i="25"/>
  <c r="F65" i="25"/>
  <c r="F66" i="25"/>
  <c r="F54" i="25"/>
  <c r="F55" i="25"/>
  <c r="F56" i="25"/>
  <c r="K56" i="25" s="1"/>
  <c r="F49" i="25"/>
  <c r="F22" i="25"/>
  <c r="F23" i="25"/>
  <c r="K23" i="25" s="1"/>
  <c r="F24" i="25"/>
  <c r="F25" i="25"/>
  <c r="F26" i="25"/>
  <c r="F27" i="25"/>
  <c r="K27" i="25" s="1"/>
  <c r="F29" i="25"/>
  <c r="F30" i="25"/>
  <c r="F31" i="25"/>
  <c r="K31" i="25" s="1"/>
  <c r="F33" i="25"/>
  <c r="I91" i="25"/>
  <c r="I92" i="25"/>
  <c r="I93" i="25"/>
  <c r="I82" i="25"/>
  <c r="I83" i="25"/>
  <c r="I84" i="25"/>
  <c r="I85" i="25"/>
  <c r="I86" i="25"/>
  <c r="I71" i="25"/>
  <c r="I72" i="25"/>
  <c r="I73" i="25"/>
  <c r="I74" i="25"/>
  <c r="I75" i="25"/>
  <c r="K75" i="25" s="1"/>
  <c r="I76" i="25"/>
  <c r="I77" i="25"/>
  <c r="I62" i="25"/>
  <c r="I63" i="25"/>
  <c r="I64" i="25"/>
  <c r="I65" i="25"/>
  <c r="I66" i="25"/>
  <c r="I54" i="25"/>
  <c r="I55" i="25"/>
  <c r="I56" i="25"/>
  <c r="I39" i="25"/>
  <c r="I40" i="25"/>
  <c r="I41" i="25"/>
  <c r="I42" i="25"/>
  <c r="I43" i="25"/>
  <c r="I44" i="25"/>
  <c r="K44" i="25" s="1"/>
  <c r="I49" i="25"/>
  <c r="I11" i="25"/>
  <c r="I12" i="25"/>
  <c r="I13" i="25"/>
  <c r="K13" i="25" s="1"/>
  <c r="I14" i="25"/>
  <c r="I15" i="25"/>
  <c r="I16" i="25"/>
  <c r="I17" i="25"/>
  <c r="K17" i="25" s="1"/>
  <c r="G25" i="1"/>
  <c r="F87" i="24"/>
  <c r="F88" i="24"/>
  <c r="F81" i="24"/>
  <c r="F82" i="24"/>
  <c r="F75" i="24"/>
  <c r="F76" i="24"/>
  <c r="F69" i="24"/>
  <c r="F70" i="24"/>
  <c r="F71" i="24"/>
  <c r="F63" i="24"/>
  <c r="F64" i="24"/>
  <c r="F65" i="24"/>
  <c r="F58" i="24"/>
  <c r="F59" i="24"/>
  <c r="F53" i="24"/>
  <c r="F54" i="24"/>
  <c r="F48" i="24"/>
  <c r="F49" i="24"/>
  <c r="F42" i="24"/>
  <c r="F43" i="24"/>
  <c r="F44" i="24"/>
  <c r="F36" i="24"/>
  <c r="F37" i="24"/>
  <c r="F38" i="24"/>
  <c r="F30" i="24"/>
  <c r="F31" i="24"/>
  <c r="F32" i="24"/>
  <c r="F25" i="24"/>
  <c r="F26" i="24"/>
  <c r="F19" i="24"/>
  <c r="F20" i="24"/>
  <c r="F21" i="24"/>
  <c r="F11" i="24"/>
  <c r="F12" i="24"/>
  <c r="F13" i="24"/>
  <c r="F14" i="24"/>
  <c r="I87" i="24"/>
  <c r="I88" i="24"/>
  <c r="I81" i="24"/>
  <c r="I82" i="24"/>
  <c r="I75" i="24"/>
  <c r="I76" i="24"/>
  <c r="I69" i="24"/>
  <c r="K69" i="24" s="1"/>
  <c r="I70" i="24"/>
  <c r="I71" i="24"/>
  <c r="I63" i="24"/>
  <c r="I64" i="24"/>
  <c r="I65" i="24"/>
  <c r="I58" i="24"/>
  <c r="I59" i="24"/>
  <c r="I53" i="24"/>
  <c r="K53" i="24" s="1"/>
  <c r="I54" i="24"/>
  <c r="I48" i="24"/>
  <c r="I49" i="24"/>
  <c r="I42" i="24"/>
  <c r="I43" i="24"/>
  <c r="I44" i="24"/>
  <c r="I36" i="24"/>
  <c r="I37" i="24"/>
  <c r="I38" i="24"/>
  <c r="I30" i="24"/>
  <c r="I31" i="24"/>
  <c r="I32" i="24"/>
  <c r="K32" i="24" s="1"/>
  <c r="I25" i="24"/>
  <c r="I26" i="24"/>
  <c r="I19" i="24"/>
  <c r="I20" i="24"/>
  <c r="I21" i="24"/>
  <c r="I11" i="24"/>
  <c r="I12" i="24"/>
  <c r="I13" i="24"/>
  <c r="K13" i="24" s="1"/>
  <c r="I14" i="24"/>
  <c r="J93" i="24"/>
  <c r="G27" i="1" s="1"/>
  <c r="F102" i="75"/>
  <c r="F103" i="75"/>
  <c r="F96" i="75"/>
  <c r="K96" i="75" s="1"/>
  <c r="F97" i="75"/>
  <c r="K97" i="75" s="1"/>
  <c r="F90" i="75"/>
  <c r="K90" i="75" s="1"/>
  <c r="F91" i="75"/>
  <c r="F84" i="75"/>
  <c r="F85" i="75"/>
  <c r="F79" i="75"/>
  <c r="F72" i="75"/>
  <c r="F73" i="75"/>
  <c r="F65" i="75"/>
  <c r="F66" i="75"/>
  <c r="F67" i="75"/>
  <c r="F68" i="75"/>
  <c r="F60" i="75"/>
  <c r="F61" i="75"/>
  <c r="F55" i="75"/>
  <c r="F56" i="75"/>
  <c r="F50" i="75"/>
  <c r="K50" i="75" s="1"/>
  <c r="F51" i="75"/>
  <c r="K44" i="75"/>
  <c r="F45" i="75"/>
  <c r="K45" i="75" s="1"/>
  <c r="F46" i="75"/>
  <c r="K46" i="75" s="1"/>
  <c r="F38" i="75"/>
  <c r="F39" i="75"/>
  <c r="F40" i="75"/>
  <c r="F32" i="75"/>
  <c r="K32" i="75" s="1"/>
  <c r="F33" i="75"/>
  <c r="F34" i="75"/>
  <c r="K34" i="75" s="1"/>
  <c r="F27" i="75"/>
  <c r="F28" i="75"/>
  <c r="F21" i="75"/>
  <c r="F22" i="75"/>
  <c r="F23" i="75"/>
  <c r="F16" i="75"/>
  <c r="I102" i="75"/>
  <c r="I103" i="75"/>
  <c r="I96" i="75"/>
  <c r="I97" i="75"/>
  <c r="I90" i="75"/>
  <c r="I91" i="75"/>
  <c r="I84" i="75"/>
  <c r="I85" i="75"/>
  <c r="I78" i="75"/>
  <c r="I79" i="75"/>
  <c r="I72" i="75"/>
  <c r="I73" i="75"/>
  <c r="I65" i="75"/>
  <c r="I66" i="75"/>
  <c r="I67" i="75"/>
  <c r="I68" i="75"/>
  <c r="I60" i="75"/>
  <c r="I61" i="75"/>
  <c r="I55" i="75"/>
  <c r="I56" i="75"/>
  <c r="I50" i="75"/>
  <c r="I51" i="75"/>
  <c r="I44" i="75"/>
  <c r="I45" i="75"/>
  <c r="I46" i="75"/>
  <c r="I38" i="75"/>
  <c r="I39" i="75"/>
  <c r="I40" i="75"/>
  <c r="I32" i="75"/>
  <c r="I33" i="75"/>
  <c r="I34" i="75"/>
  <c r="I27" i="75"/>
  <c r="I28" i="75"/>
  <c r="I21" i="75"/>
  <c r="I22" i="75"/>
  <c r="I23" i="75"/>
  <c r="I13" i="75"/>
  <c r="I14" i="75"/>
  <c r="I15" i="75"/>
  <c r="I16" i="75"/>
  <c r="J108" i="75"/>
  <c r="G29" i="1" s="1"/>
  <c r="F56" i="22"/>
  <c r="F35" i="22"/>
  <c r="F36" i="22"/>
  <c r="F37" i="22"/>
  <c r="F30" i="22"/>
  <c r="F22" i="22"/>
  <c r="F23" i="22"/>
  <c r="F24" i="22"/>
  <c r="F13" i="22"/>
  <c r="F15" i="22"/>
  <c r="F16" i="22"/>
  <c r="I56" i="22"/>
  <c r="K56" i="22" s="1"/>
  <c r="I57" i="22"/>
  <c r="I35" i="22"/>
  <c r="I36" i="22"/>
  <c r="I37" i="22"/>
  <c r="I29" i="22"/>
  <c r="K29" i="22" s="1"/>
  <c r="I30" i="22"/>
  <c r="I21" i="22"/>
  <c r="I22" i="22"/>
  <c r="I23" i="22"/>
  <c r="I24" i="22"/>
  <c r="I11" i="22"/>
  <c r="I12" i="22"/>
  <c r="I13" i="22"/>
  <c r="I14" i="22"/>
  <c r="I15" i="22"/>
  <c r="I16" i="22"/>
  <c r="G31" i="1"/>
  <c r="F66" i="43"/>
  <c r="F67" i="43"/>
  <c r="F68" i="43"/>
  <c r="F69" i="43"/>
  <c r="F60" i="43"/>
  <c r="F61" i="43"/>
  <c r="F54" i="43"/>
  <c r="F55" i="43"/>
  <c r="F47" i="43"/>
  <c r="F48" i="43"/>
  <c r="F49" i="43"/>
  <c r="K49" i="43" s="1"/>
  <c r="F41" i="43"/>
  <c r="F42" i="43"/>
  <c r="F29" i="43"/>
  <c r="K29" i="43" s="1"/>
  <c r="F30" i="43"/>
  <c r="F31" i="43"/>
  <c r="F32" i="43"/>
  <c r="K32" i="43" s="1"/>
  <c r="F33" i="43"/>
  <c r="F20" i="43"/>
  <c r="F21" i="43"/>
  <c r="F22" i="43"/>
  <c r="F23" i="43"/>
  <c r="F11" i="43"/>
  <c r="F12" i="43"/>
  <c r="F13" i="43"/>
  <c r="F14" i="43"/>
  <c r="F15" i="43"/>
  <c r="I66" i="43"/>
  <c r="I67" i="43"/>
  <c r="I68" i="43"/>
  <c r="K68" i="43" s="1"/>
  <c r="I69" i="43"/>
  <c r="I60" i="43"/>
  <c r="I61" i="43"/>
  <c r="I54" i="43"/>
  <c r="I55" i="43"/>
  <c r="I47" i="43"/>
  <c r="I48" i="43"/>
  <c r="I49" i="43"/>
  <c r="I41" i="43"/>
  <c r="I42" i="43"/>
  <c r="I28" i="43"/>
  <c r="I29" i="43"/>
  <c r="I30" i="43"/>
  <c r="I31" i="43"/>
  <c r="I32" i="43"/>
  <c r="I33" i="43"/>
  <c r="I20" i="43"/>
  <c r="I21" i="43"/>
  <c r="I22" i="43"/>
  <c r="I23" i="43"/>
  <c r="I11" i="43"/>
  <c r="I12" i="43"/>
  <c r="K12" i="43" s="1"/>
  <c r="I13" i="43"/>
  <c r="I14" i="43"/>
  <c r="I15" i="43"/>
  <c r="J74" i="43"/>
  <c r="G33" i="1" s="1"/>
  <c r="F91" i="66"/>
  <c r="F92" i="66"/>
  <c r="F93" i="66"/>
  <c r="F94" i="66"/>
  <c r="F82" i="66"/>
  <c r="F83" i="66"/>
  <c r="K83" i="66" s="1"/>
  <c r="F84" i="66"/>
  <c r="K84" i="66" s="1"/>
  <c r="F85" i="66"/>
  <c r="K85" i="66" s="1"/>
  <c r="F86" i="66"/>
  <c r="K86" i="66" s="1"/>
  <c r="F75" i="66"/>
  <c r="F76" i="66"/>
  <c r="F77" i="66"/>
  <c r="K77" i="66" s="1"/>
  <c r="F66" i="66"/>
  <c r="F67" i="66"/>
  <c r="F68" i="66"/>
  <c r="F69" i="66"/>
  <c r="K69" i="66" s="1"/>
  <c r="F70" i="66"/>
  <c r="F55" i="66"/>
  <c r="F56" i="66"/>
  <c r="F57" i="66"/>
  <c r="F58" i="66"/>
  <c r="F59" i="66"/>
  <c r="F60" i="66"/>
  <c r="F61" i="66"/>
  <c r="F46" i="66"/>
  <c r="F47" i="66"/>
  <c r="K47" i="66" s="1"/>
  <c r="F48" i="66"/>
  <c r="F49" i="66"/>
  <c r="K49" i="66" s="1"/>
  <c r="F50" i="66"/>
  <c r="K50" i="66" s="1"/>
  <c r="F38" i="66"/>
  <c r="F39" i="66"/>
  <c r="K39" i="66" s="1"/>
  <c r="F40" i="66"/>
  <c r="K40" i="66" s="1"/>
  <c r="F27" i="66"/>
  <c r="K27" i="66" s="1"/>
  <c r="F28" i="66"/>
  <c r="F29" i="66"/>
  <c r="K29" i="66" s="1"/>
  <c r="F30" i="66"/>
  <c r="K30" i="66" s="1"/>
  <c r="F31" i="66"/>
  <c r="F32" i="66"/>
  <c r="F33" i="66"/>
  <c r="F11" i="66"/>
  <c r="F12" i="66"/>
  <c r="F13" i="66"/>
  <c r="F14" i="66"/>
  <c r="F15" i="66"/>
  <c r="F16" i="66"/>
  <c r="F17" i="66"/>
  <c r="F18" i="66"/>
  <c r="F19" i="66"/>
  <c r="F20" i="66"/>
  <c r="F21" i="66"/>
  <c r="K21" i="66" s="1"/>
  <c r="F22" i="66"/>
  <c r="I91" i="66"/>
  <c r="K91" i="66" s="1"/>
  <c r="I92" i="66"/>
  <c r="K92" i="66" s="1"/>
  <c r="I93" i="66"/>
  <c r="I94" i="66"/>
  <c r="K94" i="66" s="1"/>
  <c r="I82" i="66"/>
  <c r="I83" i="66"/>
  <c r="I84" i="66"/>
  <c r="I85" i="66"/>
  <c r="I86" i="66"/>
  <c r="I75" i="66"/>
  <c r="I76" i="66"/>
  <c r="I77" i="66"/>
  <c r="I66" i="66"/>
  <c r="I67" i="66"/>
  <c r="I68" i="66"/>
  <c r="I69" i="66"/>
  <c r="I70" i="66"/>
  <c r="I55" i="66"/>
  <c r="K55" i="66" s="1"/>
  <c r="I56" i="66"/>
  <c r="K56" i="66" s="1"/>
  <c r="I57" i="66"/>
  <c r="K57" i="66" s="1"/>
  <c r="I58" i="66"/>
  <c r="I59" i="66"/>
  <c r="I60" i="66"/>
  <c r="I61" i="66"/>
  <c r="K61" i="66" s="1"/>
  <c r="I46" i="66"/>
  <c r="I47" i="66"/>
  <c r="I48" i="66"/>
  <c r="I49" i="66"/>
  <c r="I50" i="66"/>
  <c r="I38" i="66"/>
  <c r="I39" i="66"/>
  <c r="I40" i="66"/>
  <c r="I27" i="66"/>
  <c r="I28" i="66"/>
  <c r="I29" i="66"/>
  <c r="I30" i="66"/>
  <c r="I31" i="66"/>
  <c r="K31" i="66" s="1"/>
  <c r="I32" i="66"/>
  <c r="I33" i="66"/>
  <c r="K33" i="66" s="1"/>
  <c r="I11" i="66"/>
  <c r="K11" i="66" s="1"/>
  <c r="I12" i="66"/>
  <c r="K12" i="66" s="1"/>
  <c r="I13" i="66"/>
  <c r="I14" i="66"/>
  <c r="K14" i="66" s="1"/>
  <c r="I15" i="66"/>
  <c r="K15" i="66" s="1"/>
  <c r="I16" i="66"/>
  <c r="K16" i="66" s="1"/>
  <c r="I17" i="66"/>
  <c r="I18" i="66"/>
  <c r="I19" i="66"/>
  <c r="I20" i="66"/>
  <c r="I21" i="66"/>
  <c r="I22" i="66"/>
  <c r="J99" i="66"/>
  <c r="G35" i="1" s="1"/>
  <c r="F91" i="49"/>
  <c r="F92" i="49"/>
  <c r="F93" i="49"/>
  <c r="F94" i="49"/>
  <c r="F82" i="49"/>
  <c r="F83" i="49"/>
  <c r="F84" i="49"/>
  <c r="K84" i="49" s="1"/>
  <c r="F85" i="49"/>
  <c r="F86" i="49"/>
  <c r="K86" i="49" s="1"/>
  <c r="F75" i="49"/>
  <c r="F76" i="49"/>
  <c r="F77" i="49"/>
  <c r="F66" i="49"/>
  <c r="K66" i="49" s="1"/>
  <c r="F67" i="49"/>
  <c r="F68" i="49"/>
  <c r="F69" i="49"/>
  <c r="F70" i="49"/>
  <c r="F55" i="49"/>
  <c r="F56" i="49"/>
  <c r="F57" i="49"/>
  <c r="F58" i="49"/>
  <c r="F59" i="49"/>
  <c r="F60" i="49"/>
  <c r="K60" i="49" s="1"/>
  <c r="F61" i="49"/>
  <c r="F46" i="49"/>
  <c r="K46" i="49" s="1"/>
  <c r="F47" i="49"/>
  <c r="K47" i="49" s="1"/>
  <c r="F48" i="49"/>
  <c r="F49" i="49"/>
  <c r="F50" i="49"/>
  <c r="K50" i="49" s="1"/>
  <c r="F38" i="49"/>
  <c r="K38" i="49" s="1"/>
  <c r="F39" i="49"/>
  <c r="K39" i="49" s="1"/>
  <c r="F40" i="49"/>
  <c r="K40" i="49" s="1"/>
  <c r="F27" i="49"/>
  <c r="K27" i="49" s="1"/>
  <c r="F28" i="49"/>
  <c r="F29" i="49"/>
  <c r="F30" i="49"/>
  <c r="F31" i="49"/>
  <c r="F32" i="49"/>
  <c r="F33" i="49"/>
  <c r="F11" i="49"/>
  <c r="F12" i="49"/>
  <c r="F13" i="49"/>
  <c r="F14" i="49"/>
  <c r="F15" i="49"/>
  <c r="F16" i="49"/>
  <c r="K16" i="49" s="1"/>
  <c r="F17" i="49"/>
  <c r="K17" i="49" s="1"/>
  <c r="F18" i="49"/>
  <c r="K18" i="49" s="1"/>
  <c r="F19" i="49"/>
  <c r="F20" i="49"/>
  <c r="K20" i="49" s="1"/>
  <c r="F21" i="49"/>
  <c r="F22" i="49"/>
  <c r="I91" i="49"/>
  <c r="K91" i="49" s="1"/>
  <c r="I92" i="49"/>
  <c r="K92" i="49" s="1"/>
  <c r="I93" i="49"/>
  <c r="I94" i="49"/>
  <c r="I82" i="49"/>
  <c r="I83" i="49"/>
  <c r="I84" i="49"/>
  <c r="I85" i="49"/>
  <c r="I86" i="49"/>
  <c r="I75" i="49"/>
  <c r="I76" i="49"/>
  <c r="I77" i="49"/>
  <c r="I66" i="49"/>
  <c r="I67" i="49"/>
  <c r="I68" i="49"/>
  <c r="I69" i="49"/>
  <c r="I70" i="49"/>
  <c r="I55" i="49"/>
  <c r="I56" i="49"/>
  <c r="I57" i="49"/>
  <c r="I58" i="49"/>
  <c r="K58" i="49" s="1"/>
  <c r="I59" i="49"/>
  <c r="I60" i="49"/>
  <c r="I61" i="49"/>
  <c r="I46" i="49"/>
  <c r="I47" i="49"/>
  <c r="I48" i="49"/>
  <c r="I49" i="49"/>
  <c r="I50" i="49"/>
  <c r="I38" i="49"/>
  <c r="I39" i="49"/>
  <c r="I40" i="49"/>
  <c r="I27" i="49"/>
  <c r="I28" i="49"/>
  <c r="I29" i="49"/>
  <c r="I30" i="49"/>
  <c r="I31" i="49"/>
  <c r="I32" i="49"/>
  <c r="I33" i="49"/>
  <c r="I11" i="49"/>
  <c r="I12" i="49"/>
  <c r="K12" i="49" s="1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K94" i="50" s="1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K61" i="50" s="1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F92" i="45"/>
  <c r="F93" i="45"/>
  <c r="F94" i="45"/>
  <c r="F82" i="45"/>
  <c r="F83" i="45"/>
  <c r="F84" i="45"/>
  <c r="F85" i="45"/>
  <c r="F86" i="45"/>
  <c r="F75" i="45"/>
  <c r="F76" i="45"/>
  <c r="F77" i="45"/>
  <c r="F66" i="45"/>
  <c r="K66" i="45" s="1"/>
  <c r="F67" i="45"/>
  <c r="K67" i="45" s="1"/>
  <c r="F68" i="45"/>
  <c r="F69" i="45"/>
  <c r="F70" i="45"/>
  <c r="K70" i="45" s="1"/>
  <c r="F55" i="45"/>
  <c r="F56" i="45"/>
  <c r="F57" i="45"/>
  <c r="F58" i="45"/>
  <c r="F59" i="45"/>
  <c r="F60" i="45"/>
  <c r="F61" i="45"/>
  <c r="F46" i="45"/>
  <c r="F47" i="45"/>
  <c r="F48" i="45"/>
  <c r="F49" i="45"/>
  <c r="F50" i="45"/>
  <c r="K50" i="45" s="1"/>
  <c r="F38" i="45"/>
  <c r="F39" i="45"/>
  <c r="F40" i="45"/>
  <c r="F27" i="45"/>
  <c r="F28" i="45"/>
  <c r="F29" i="45"/>
  <c r="K29" i="45" s="1"/>
  <c r="F30" i="45"/>
  <c r="F31" i="45"/>
  <c r="F32" i="45"/>
  <c r="F33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K22" i="45" s="1"/>
  <c r="I91" i="45"/>
  <c r="I92" i="45"/>
  <c r="K92" i="45" s="1"/>
  <c r="I93" i="45"/>
  <c r="I94" i="45"/>
  <c r="I82" i="45"/>
  <c r="K82" i="45" s="1"/>
  <c r="I83" i="45"/>
  <c r="K83" i="45" s="1"/>
  <c r="I84" i="45"/>
  <c r="I85" i="45"/>
  <c r="I86" i="45"/>
  <c r="I75" i="45"/>
  <c r="I76" i="45"/>
  <c r="I77" i="45"/>
  <c r="I66" i="45"/>
  <c r="I67" i="45"/>
  <c r="I68" i="45"/>
  <c r="I69" i="45"/>
  <c r="I70" i="45"/>
  <c r="I55" i="45"/>
  <c r="K55" i="45" s="1"/>
  <c r="I56" i="45"/>
  <c r="I57" i="45"/>
  <c r="I58" i="45"/>
  <c r="K58" i="45" s="1"/>
  <c r="I59" i="45"/>
  <c r="K59" i="45" s="1"/>
  <c r="I60" i="45"/>
  <c r="I61" i="45"/>
  <c r="I46" i="45"/>
  <c r="K46" i="45" s="1"/>
  <c r="I47" i="45"/>
  <c r="K47" i="45" s="1"/>
  <c r="I48" i="45"/>
  <c r="I49" i="45"/>
  <c r="I50" i="45"/>
  <c r="I38" i="45"/>
  <c r="I39" i="45"/>
  <c r="I40" i="45"/>
  <c r="I27" i="45"/>
  <c r="I28" i="45"/>
  <c r="I29" i="45"/>
  <c r="I30" i="45"/>
  <c r="I31" i="45"/>
  <c r="I32" i="45"/>
  <c r="I33" i="45"/>
  <c r="I11" i="45"/>
  <c r="I12" i="45"/>
  <c r="I13" i="45"/>
  <c r="K13" i="45" s="1"/>
  <c r="I14" i="45"/>
  <c r="I15" i="45"/>
  <c r="I16" i="45"/>
  <c r="I17" i="45"/>
  <c r="I18" i="45"/>
  <c r="I19" i="45"/>
  <c r="I20" i="45"/>
  <c r="I21" i="45"/>
  <c r="I22" i="45"/>
  <c r="J99" i="45"/>
  <c r="G41" i="1" s="1"/>
  <c r="F91" i="16"/>
  <c r="F92" i="16"/>
  <c r="F93" i="16"/>
  <c r="F94" i="16"/>
  <c r="K94" i="16" s="1"/>
  <c r="F82" i="16"/>
  <c r="F83" i="16"/>
  <c r="K83" i="16" s="1"/>
  <c r="F84" i="16"/>
  <c r="F85" i="16"/>
  <c r="F86" i="16"/>
  <c r="F75" i="16"/>
  <c r="F76" i="16"/>
  <c r="F77" i="16"/>
  <c r="K77" i="16" s="1"/>
  <c r="F66" i="16"/>
  <c r="F67" i="16"/>
  <c r="K67" i="16" s="1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F49" i="16"/>
  <c r="F50" i="16"/>
  <c r="F38" i="16"/>
  <c r="K38" i="16" s="1"/>
  <c r="F39" i="16"/>
  <c r="K39" i="16" s="1"/>
  <c r="F40" i="16"/>
  <c r="F27" i="16"/>
  <c r="F28" i="16"/>
  <c r="F29" i="16"/>
  <c r="F30" i="16"/>
  <c r="F31" i="16"/>
  <c r="F32" i="16"/>
  <c r="F33" i="16"/>
  <c r="F12" i="16"/>
  <c r="F13" i="16"/>
  <c r="F14" i="16"/>
  <c r="F15" i="16"/>
  <c r="F16" i="16"/>
  <c r="F17" i="16"/>
  <c r="F18" i="16"/>
  <c r="F19" i="16"/>
  <c r="F20" i="16"/>
  <c r="F21" i="16"/>
  <c r="F22" i="16"/>
  <c r="K22" i="16" s="1"/>
  <c r="I91" i="16"/>
  <c r="I92" i="16"/>
  <c r="K92" i="16" s="1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K59" i="16" s="1"/>
  <c r="I60" i="16"/>
  <c r="I61" i="16"/>
  <c r="I46" i="16"/>
  <c r="I47" i="16"/>
  <c r="I48" i="16"/>
  <c r="I49" i="16"/>
  <c r="I50" i="16"/>
  <c r="I38" i="16"/>
  <c r="I39" i="16"/>
  <c r="I40" i="16"/>
  <c r="I27" i="16"/>
  <c r="I28" i="16"/>
  <c r="I29" i="16"/>
  <c r="K29" i="16" s="1"/>
  <c r="I30" i="16"/>
  <c r="I31" i="16"/>
  <c r="I32" i="16"/>
  <c r="K32" i="16" s="1"/>
  <c r="I33" i="16"/>
  <c r="I11" i="16"/>
  <c r="I12" i="16"/>
  <c r="I13" i="16"/>
  <c r="K13" i="16" s="1"/>
  <c r="I14" i="16"/>
  <c r="K14" i="16" s="1"/>
  <c r="I15" i="16"/>
  <c r="I16" i="16"/>
  <c r="I17" i="16"/>
  <c r="I18" i="16"/>
  <c r="I19" i="16"/>
  <c r="I20" i="16"/>
  <c r="I21" i="16"/>
  <c r="I22" i="16"/>
  <c r="J99" i="16"/>
  <c r="G43" i="1" s="1"/>
  <c r="F77" i="15"/>
  <c r="F78" i="15"/>
  <c r="F79" i="15"/>
  <c r="F80" i="15"/>
  <c r="K80" i="15" s="1"/>
  <c r="F81" i="15"/>
  <c r="K81" i="15" s="1"/>
  <c r="F70" i="15"/>
  <c r="F71" i="15"/>
  <c r="F72" i="15"/>
  <c r="K72" i="15" s="1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K61" i="15" s="1"/>
  <c r="F62" i="15"/>
  <c r="F63" i="15"/>
  <c r="F64" i="15"/>
  <c r="K64" i="15" s="1"/>
  <c r="F65" i="15"/>
  <c r="F38" i="15"/>
  <c r="F39" i="15"/>
  <c r="F40" i="15"/>
  <c r="K40" i="15" s="1"/>
  <c r="F41" i="15"/>
  <c r="K41" i="15" s="1"/>
  <c r="F42" i="15"/>
  <c r="F43" i="15"/>
  <c r="F44" i="15"/>
  <c r="F27" i="15"/>
  <c r="F28" i="15"/>
  <c r="F29" i="15"/>
  <c r="F30" i="15"/>
  <c r="F31" i="15"/>
  <c r="F32" i="15"/>
  <c r="F33" i="15"/>
  <c r="F12" i="15"/>
  <c r="F14" i="15"/>
  <c r="F15" i="15"/>
  <c r="F16" i="15"/>
  <c r="K16" i="15" s="1"/>
  <c r="F17" i="15"/>
  <c r="F18" i="15"/>
  <c r="F19" i="15"/>
  <c r="K19" i="15" s="1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K52" i="15" s="1"/>
  <c r="I53" i="15"/>
  <c r="I54" i="15"/>
  <c r="I55" i="15"/>
  <c r="I56" i="15"/>
  <c r="K56" i="15" s="1"/>
  <c r="I57" i="15"/>
  <c r="I58" i="15"/>
  <c r="I59" i="15"/>
  <c r="I60" i="15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K30" i="15" s="1"/>
  <c r="I31" i="15"/>
  <c r="I32" i="15"/>
  <c r="I33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F95" i="67"/>
  <c r="F96" i="67"/>
  <c r="F97" i="67"/>
  <c r="F88" i="67"/>
  <c r="F89" i="67"/>
  <c r="F82" i="67"/>
  <c r="F83" i="67"/>
  <c r="F76" i="67"/>
  <c r="F77" i="67"/>
  <c r="F61" i="67"/>
  <c r="F62" i="67"/>
  <c r="F63" i="67"/>
  <c r="F64" i="67"/>
  <c r="F65" i="67"/>
  <c r="F66" i="67"/>
  <c r="F67" i="67"/>
  <c r="F68" i="67"/>
  <c r="F69" i="67"/>
  <c r="F70" i="67"/>
  <c r="F71" i="67"/>
  <c r="F56" i="67"/>
  <c r="F49" i="67"/>
  <c r="F50" i="67"/>
  <c r="F51" i="67"/>
  <c r="K51" i="67" s="1"/>
  <c r="F41" i="67"/>
  <c r="F42" i="67"/>
  <c r="F43" i="67"/>
  <c r="F44" i="67"/>
  <c r="F34" i="67"/>
  <c r="F35" i="67"/>
  <c r="F36" i="67"/>
  <c r="F28" i="67"/>
  <c r="K28" i="67" s="1"/>
  <c r="F29" i="67"/>
  <c r="F21" i="67"/>
  <c r="F22" i="67"/>
  <c r="F23" i="67"/>
  <c r="K23" i="67" s="1"/>
  <c r="F12" i="67"/>
  <c r="K12" i="67" s="1"/>
  <c r="F13" i="67"/>
  <c r="F14" i="67"/>
  <c r="K14" i="67" s="1"/>
  <c r="F15" i="67"/>
  <c r="F16" i="67"/>
  <c r="I94" i="67"/>
  <c r="K94" i="67" s="1"/>
  <c r="I95" i="67"/>
  <c r="K95" i="67" s="1"/>
  <c r="I96" i="67"/>
  <c r="I97" i="67"/>
  <c r="K97" i="67" s="1"/>
  <c r="I88" i="67"/>
  <c r="I89" i="67"/>
  <c r="I82" i="67"/>
  <c r="I83" i="67"/>
  <c r="I76" i="67"/>
  <c r="I77" i="67"/>
  <c r="I61" i="67"/>
  <c r="I62" i="67"/>
  <c r="K62" i="67" s="1"/>
  <c r="I63" i="67"/>
  <c r="I64" i="67"/>
  <c r="I65" i="67"/>
  <c r="I66" i="67"/>
  <c r="K66" i="67" s="1"/>
  <c r="I67" i="67"/>
  <c r="I68" i="67"/>
  <c r="I69" i="67"/>
  <c r="I70" i="67"/>
  <c r="K70" i="67" s="1"/>
  <c r="I71" i="67"/>
  <c r="K71" i="67" s="1"/>
  <c r="I56" i="67"/>
  <c r="I49" i="67"/>
  <c r="I50" i="67"/>
  <c r="K50" i="67" s="1"/>
  <c r="I51" i="67"/>
  <c r="I41" i="67"/>
  <c r="I42" i="67"/>
  <c r="I43" i="67"/>
  <c r="I44" i="67"/>
  <c r="I34" i="67"/>
  <c r="I35" i="67"/>
  <c r="I36" i="67"/>
  <c r="K36" i="67" s="1"/>
  <c r="I28" i="67"/>
  <c r="I29" i="67"/>
  <c r="I21" i="67"/>
  <c r="I22" i="67"/>
  <c r="K22" i="67" s="1"/>
  <c r="I23" i="67"/>
  <c r="I11" i="67"/>
  <c r="I12" i="67"/>
  <c r="I13" i="67"/>
  <c r="K13" i="67" s="1"/>
  <c r="I14" i="67"/>
  <c r="I15" i="67"/>
  <c r="I16" i="67"/>
  <c r="J102" i="67"/>
  <c r="G47" i="1" s="1"/>
  <c r="F46" i="68"/>
  <c r="K46" i="68" s="1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F12" i="68"/>
  <c r="F13" i="68"/>
  <c r="F14" i="68"/>
  <c r="F15" i="68"/>
  <c r="F16" i="68"/>
  <c r="F17" i="68"/>
  <c r="F18" i="68"/>
  <c r="F19" i="68"/>
  <c r="F20" i="68"/>
  <c r="F21" i="68"/>
  <c r="F22" i="68"/>
  <c r="I46" i="68"/>
  <c r="I47" i="68"/>
  <c r="I48" i="68"/>
  <c r="I49" i="68"/>
  <c r="I38" i="68"/>
  <c r="I39" i="68"/>
  <c r="I40" i="68"/>
  <c r="I27" i="68"/>
  <c r="I28" i="68"/>
  <c r="I29" i="68"/>
  <c r="I30" i="68"/>
  <c r="I31" i="68"/>
  <c r="I32" i="68"/>
  <c r="K32" i="68" s="1"/>
  <c r="I33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J54" i="68"/>
  <c r="G49" i="1" s="1"/>
  <c r="F48" i="69"/>
  <c r="F49" i="69"/>
  <c r="K49" i="69" s="1"/>
  <c r="F50" i="69"/>
  <c r="F51" i="69"/>
  <c r="K51" i="69" s="1"/>
  <c r="F52" i="69"/>
  <c r="K52" i="69" s="1"/>
  <c r="F40" i="69"/>
  <c r="K40" i="69" s="1"/>
  <c r="F41" i="69"/>
  <c r="F42" i="69"/>
  <c r="F29" i="69"/>
  <c r="F30" i="69"/>
  <c r="F31" i="69"/>
  <c r="F32" i="69"/>
  <c r="F33" i="69"/>
  <c r="F34" i="69"/>
  <c r="F35" i="69"/>
  <c r="F14" i="69"/>
  <c r="F15" i="69"/>
  <c r="F16" i="69"/>
  <c r="F17" i="69"/>
  <c r="F18" i="69"/>
  <c r="F19" i="69"/>
  <c r="K19" i="69" s="1"/>
  <c r="F20" i="69"/>
  <c r="F21" i="69"/>
  <c r="F22" i="69"/>
  <c r="K22" i="69" s="1"/>
  <c r="F23" i="69"/>
  <c r="K23" i="69" s="1"/>
  <c r="F24" i="69"/>
  <c r="I48" i="69"/>
  <c r="I49" i="69"/>
  <c r="I50" i="69"/>
  <c r="I51" i="69"/>
  <c r="I52" i="69"/>
  <c r="I40" i="69"/>
  <c r="I41" i="69"/>
  <c r="I42" i="69"/>
  <c r="I29" i="69"/>
  <c r="I30" i="69"/>
  <c r="I31" i="69"/>
  <c r="I32" i="69"/>
  <c r="I33" i="69"/>
  <c r="I34" i="69"/>
  <c r="I35" i="69"/>
  <c r="I13" i="69"/>
  <c r="I14" i="69"/>
  <c r="K14" i="69" s="1"/>
  <c r="I15" i="69"/>
  <c r="I16" i="69"/>
  <c r="I17" i="69"/>
  <c r="K17" i="69" s="1"/>
  <c r="I18" i="69"/>
  <c r="I19" i="69"/>
  <c r="I20" i="69"/>
  <c r="I21" i="69"/>
  <c r="I22" i="69"/>
  <c r="I23" i="69"/>
  <c r="I24" i="69"/>
  <c r="G51" i="1"/>
  <c r="F91" i="70"/>
  <c r="F92" i="70"/>
  <c r="F93" i="70"/>
  <c r="K93" i="70" s="1"/>
  <c r="F94" i="70"/>
  <c r="F82" i="70"/>
  <c r="F83" i="70"/>
  <c r="K83" i="70" s="1"/>
  <c r="F84" i="70"/>
  <c r="F85" i="70"/>
  <c r="F86" i="70"/>
  <c r="K86" i="70" s="1"/>
  <c r="F75" i="70"/>
  <c r="K75" i="70" s="1"/>
  <c r="F76" i="70"/>
  <c r="K76" i="70" s="1"/>
  <c r="F77" i="70"/>
  <c r="F66" i="70"/>
  <c r="K66" i="70" s="1"/>
  <c r="F67" i="70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K50" i="70" s="1"/>
  <c r="F38" i="70"/>
  <c r="F39" i="70"/>
  <c r="F40" i="70"/>
  <c r="F27" i="70"/>
  <c r="K27" i="70" s="1"/>
  <c r="F28" i="70"/>
  <c r="F29" i="70"/>
  <c r="F30" i="70"/>
  <c r="F31" i="70"/>
  <c r="F32" i="70"/>
  <c r="F33" i="70"/>
  <c r="F12" i="70"/>
  <c r="F13" i="70"/>
  <c r="F14" i="70"/>
  <c r="F15" i="70"/>
  <c r="F16" i="70"/>
  <c r="K16" i="70" s="1"/>
  <c r="F17" i="70"/>
  <c r="F18" i="70"/>
  <c r="F19" i="70"/>
  <c r="F20" i="70"/>
  <c r="K20" i="70" s="1"/>
  <c r="F21" i="70"/>
  <c r="F22" i="70"/>
  <c r="I91" i="70"/>
  <c r="K91" i="70" s="1"/>
  <c r="I92" i="70"/>
  <c r="I93" i="70"/>
  <c r="I94" i="70"/>
  <c r="I82" i="70"/>
  <c r="I83" i="70"/>
  <c r="I84" i="70"/>
  <c r="I85" i="70"/>
  <c r="I86" i="70"/>
  <c r="I75" i="70"/>
  <c r="I76" i="70"/>
  <c r="I77" i="70"/>
  <c r="I66" i="70"/>
  <c r="I67" i="70"/>
  <c r="K67" i="70" s="1"/>
  <c r="I68" i="70"/>
  <c r="I69" i="70"/>
  <c r="K69" i="70" s="1"/>
  <c r="I70" i="70"/>
  <c r="K70" i="70" s="1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F22" i="71"/>
  <c r="I46" i="71"/>
  <c r="I47" i="71"/>
  <c r="K47" i="71" s="1"/>
  <c r="I48" i="71"/>
  <c r="I49" i="71"/>
  <c r="I50" i="7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60" i="72"/>
  <c r="F61" i="72"/>
  <c r="K61" i="72" s="1"/>
  <c r="F62" i="72"/>
  <c r="F63" i="72"/>
  <c r="F64" i="72"/>
  <c r="F52" i="72"/>
  <c r="F53" i="72"/>
  <c r="F54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I60" i="72"/>
  <c r="I61" i="72"/>
  <c r="I62" i="72"/>
  <c r="I63" i="72"/>
  <c r="K63" i="72" s="1"/>
  <c r="I64" i="72"/>
  <c r="I52" i="72"/>
  <c r="I53" i="72"/>
  <c r="I54" i="72"/>
  <c r="K54" i="72" s="1"/>
  <c r="I29" i="72"/>
  <c r="I30" i="72"/>
  <c r="I31" i="72"/>
  <c r="I32" i="72"/>
  <c r="I33" i="72"/>
  <c r="I34" i="72"/>
  <c r="I35" i="72"/>
  <c r="I36" i="72"/>
  <c r="K36" i="72" s="1"/>
  <c r="I37" i="72"/>
  <c r="I38" i="72"/>
  <c r="I39" i="72"/>
  <c r="I40" i="72"/>
  <c r="K40" i="72" s="1"/>
  <c r="I41" i="72"/>
  <c r="I42" i="72"/>
  <c r="I43" i="72"/>
  <c r="I44" i="72"/>
  <c r="K44" i="72" s="1"/>
  <c r="I45" i="72"/>
  <c r="I46" i="72"/>
  <c r="I47" i="72"/>
  <c r="G57" i="1"/>
  <c r="F89" i="73"/>
  <c r="F90" i="73"/>
  <c r="F91" i="73"/>
  <c r="F92" i="73"/>
  <c r="F80" i="73"/>
  <c r="F81" i="73"/>
  <c r="F82" i="73"/>
  <c r="F83" i="73"/>
  <c r="F84" i="73"/>
  <c r="F73" i="73"/>
  <c r="F74" i="73"/>
  <c r="F75" i="73"/>
  <c r="F64" i="73"/>
  <c r="K64" i="73" s="1"/>
  <c r="F65" i="73"/>
  <c r="F66" i="73"/>
  <c r="K66" i="73" s="1"/>
  <c r="F67" i="73"/>
  <c r="K67" i="73" s="1"/>
  <c r="F68" i="73"/>
  <c r="K68" i="73" s="1"/>
  <c r="F53" i="73"/>
  <c r="F54" i="73"/>
  <c r="K54" i="73" s="1"/>
  <c r="F55" i="73"/>
  <c r="F56" i="73"/>
  <c r="F57" i="73"/>
  <c r="F58" i="73"/>
  <c r="F59" i="73"/>
  <c r="F44" i="73"/>
  <c r="F45" i="73"/>
  <c r="F46" i="73"/>
  <c r="F47" i="73"/>
  <c r="F48" i="73"/>
  <c r="F36" i="73"/>
  <c r="F37" i="73"/>
  <c r="F38" i="73"/>
  <c r="F25" i="73"/>
  <c r="F26" i="73"/>
  <c r="F27" i="73"/>
  <c r="K27" i="73" s="1"/>
  <c r="F28" i="73"/>
  <c r="F29" i="73"/>
  <c r="K29" i="73" s="1"/>
  <c r="F30" i="73"/>
  <c r="K30" i="73" s="1"/>
  <c r="F31" i="73"/>
  <c r="K31" i="73" s="1"/>
  <c r="F11" i="73"/>
  <c r="F12" i="73"/>
  <c r="F13" i="73"/>
  <c r="F14" i="73"/>
  <c r="F15" i="73"/>
  <c r="F16" i="73"/>
  <c r="F17" i="73"/>
  <c r="F18" i="73"/>
  <c r="F19" i="73"/>
  <c r="I89" i="73"/>
  <c r="I90" i="73"/>
  <c r="I91" i="73"/>
  <c r="I92" i="73"/>
  <c r="I80" i="73"/>
  <c r="I81" i="73"/>
  <c r="I82" i="73"/>
  <c r="K82" i="73" s="1"/>
  <c r="I83" i="73"/>
  <c r="K83" i="73" s="1"/>
  <c r="I84" i="73"/>
  <c r="K84" i="73" s="1"/>
  <c r="I73" i="73"/>
  <c r="I74" i="73"/>
  <c r="K74" i="73" s="1"/>
  <c r="I75" i="73"/>
  <c r="I64" i="73"/>
  <c r="I65" i="73"/>
  <c r="I66" i="73"/>
  <c r="I67" i="73"/>
  <c r="I68" i="73"/>
  <c r="I53" i="73"/>
  <c r="I54" i="73"/>
  <c r="I55" i="73"/>
  <c r="I56" i="73"/>
  <c r="I57" i="73"/>
  <c r="I58" i="73"/>
  <c r="K58" i="73" s="1"/>
  <c r="I59" i="73"/>
  <c r="I44" i="73"/>
  <c r="I45" i="73"/>
  <c r="I46" i="73"/>
  <c r="K46" i="73" s="1"/>
  <c r="I47" i="73"/>
  <c r="I48" i="73"/>
  <c r="I36" i="73"/>
  <c r="I37" i="73"/>
  <c r="I38" i="73"/>
  <c r="K38" i="73" s="1"/>
  <c r="I25" i="73"/>
  <c r="I26" i="73"/>
  <c r="I27" i="73"/>
  <c r="I28" i="73"/>
  <c r="I29" i="73"/>
  <c r="I30" i="73"/>
  <c r="I31" i="73"/>
  <c r="I11" i="73"/>
  <c r="I12" i="73"/>
  <c r="I13" i="73"/>
  <c r="I14" i="73"/>
  <c r="I15" i="73"/>
  <c r="K15" i="73" s="1"/>
  <c r="I16" i="73"/>
  <c r="I17" i="73"/>
  <c r="I18" i="73"/>
  <c r="I19" i="73"/>
  <c r="K19" i="73" s="1"/>
  <c r="G59" i="1"/>
  <c r="F48" i="74"/>
  <c r="F49" i="74"/>
  <c r="K49" i="74" s="1"/>
  <c r="F50" i="74"/>
  <c r="F51" i="74"/>
  <c r="F52" i="74"/>
  <c r="F40" i="74"/>
  <c r="F41" i="74"/>
  <c r="F42" i="74"/>
  <c r="K42" i="74" s="1"/>
  <c r="F43" i="74"/>
  <c r="F29" i="74"/>
  <c r="F30" i="74"/>
  <c r="F31" i="74"/>
  <c r="F32" i="74"/>
  <c r="F33" i="74"/>
  <c r="F34" i="74"/>
  <c r="F35" i="74"/>
  <c r="K35" i="74" s="1"/>
  <c r="F13" i="74"/>
  <c r="K13" i="74" s="1"/>
  <c r="F14" i="74"/>
  <c r="K14" i="74" s="1"/>
  <c r="F15" i="74"/>
  <c r="K15" i="74" s="1"/>
  <c r="F16" i="74"/>
  <c r="K16" i="74" s="1"/>
  <c r="F17" i="74"/>
  <c r="F18" i="74"/>
  <c r="K18" i="74" s="1"/>
  <c r="F19" i="74"/>
  <c r="F20" i="74"/>
  <c r="F21" i="74"/>
  <c r="F22" i="74"/>
  <c r="F23" i="74"/>
  <c r="F24" i="74"/>
  <c r="I48" i="74"/>
  <c r="I49" i="74"/>
  <c r="I50" i="74"/>
  <c r="I51" i="74"/>
  <c r="I52" i="74"/>
  <c r="I40" i="74"/>
  <c r="I41" i="74"/>
  <c r="I42" i="74"/>
  <c r="I43" i="74"/>
  <c r="I29" i="74"/>
  <c r="I30" i="74"/>
  <c r="I31" i="74"/>
  <c r="K31" i="74" s="1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G61" i="1"/>
  <c r="F94" i="30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7" i="30"/>
  <c r="F28" i="30"/>
  <c r="C29" i="30"/>
  <c r="I29" i="30" s="1"/>
  <c r="C31" i="30"/>
  <c r="F32" i="30"/>
  <c r="F33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I131" i="30"/>
  <c r="I132" i="30"/>
  <c r="I133" i="30"/>
  <c r="I134" i="30"/>
  <c r="I123" i="30"/>
  <c r="I124" i="30"/>
  <c r="I125" i="30"/>
  <c r="I126" i="30"/>
  <c r="I100" i="30"/>
  <c r="I101" i="30"/>
  <c r="I103" i="30"/>
  <c r="I90" i="30"/>
  <c r="I92" i="30"/>
  <c r="K92" i="30" s="1"/>
  <c r="E17" i="81" s="1"/>
  <c r="I93" i="30"/>
  <c r="I94" i="30"/>
  <c r="I95" i="30"/>
  <c r="I79" i="30"/>
  <c r="I80" i="30"/>
  <c r="I81" i="30"/>
  <c r="I82" i="30"/>
  <c r="I83" i="30"/>
  <c r="I84" i="30"/>
  <c r="I85" i="30"/>
  <c r="K85" i="30" s="1"/>
  <c r="I70" i="30"/>
  <c r="I71" i="30"/>
  <c r="I72" i="30"/>
  <c r="I73" i="30"/>
  <c r="K73" i="30" s="1"/>
  <c r="I74" i="30"/>
  <c r="I27" i="30"/>
  <c r="I28" i="30"/>
  <c r="I32" i="30"/>
  <c r="I33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K58" i="28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40" i="25"/>
  <c r="K51" i="74"/>
  <c r="K40" i="74"/>
  <c r="K20" i="74"/>
  <c r="K22" i="74"/>
  <c r="K24" i="74"/>
  <c r="K44" i="73"/>
  <c r="K12" i="73"/>
  <c r="K14" i="73"/>
  <c r="F24" i="73"/>
  <c r="I24" i="73"/>
  <c r="K38" i="72"/>
  <c r="F13" i="72"/>
  <c r="I13" i="72"/>
  <c r="F14" i="72"/>
  <c r="I14" i="72"/>
  <c r="F15" i="72"/>
  <c r="I15" i="72"/>
  <c r="F16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31" i="71"/>
  <c r="K21" i="71"/>
  <c r="K58" i="70"/>
  <c r="K76" i="67"/>
  <c r="K63" i="67"/>
  <c r="K67" i="67"/>
  <c r="K34" i="67"/>
  <c r="K44" i="67"/>
  <c r="K15" i="15"/>
  <c r="K15" i="16"/>
  <c r="K38" i="45"/>
  <c r="K18" i="45"/>
  <c r="K14" i="49"/>
  <c r="K31" i="49"/>
  <c r="K66" i="66"/>
  <c r="K67" i="66"/>
  <c r="K70" i="66"/>
  <c r="K75" i="66"/>
  <c r="K13" i="66"/>
  <c r="K17" i="66"/>
  <c r="K19" i="66"/>
  <c r="K20" i="66"/>
  <c r="K31" i="43"/>
  <c r="K13" i="43"/>
  <c r="F50" i="22"/>
  <c r="I50" i="22"/>
  <c r="F51" i="22"/>
  <c r="I51" i="22"/>
  <c r="K73" i="75"/>
  <c r="K65" i="75"/>
  <c r="K67" i="75"/>
  <c r="K68" i="75"/>
  <c r="K55" i="75"/>
  <c r="K56" i="75"/>
  <c r="K60" i="75"/>
  <c r="K61" i="75"/>
  <c r="K27" i="75"/>
  <c r="K28" i="75"/>
  <c r="K15" i="75"/>
  <c r="K16" i="75"/>
  <c r="K22" i="75"/>
  <c r="K23" i="75"/>
  <c r="K49" i="24"/>
  <c r="K19" i="24"/>
  <c r="K49" i="26"/>
  <c r="K50" i="26"/>
  <c r="K52" i="26"/>
  <c r="K57" i="26"/>
  <c r="K70" i="26"/>
  <c r="K31" i="26"/>
  <c r="K34" i="26"/>
  <c r="K35" i="26"/>
  <c r="K15" i="26"/>
  <c r="K16" i="26"/>
  <c r="K19" i="26"/>
  <c r="K20" i="26"/>
  <c r="K31" i="42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2" i="70"/>
  <c r="K47" i="68"/>
  <c r="K28" i="68"/>
  <c r="K13" i="68"/>
  <c r="K21" i="68"/>
  <c r="F86" i="15"/>
  <c r="I86" i="15"/>
  <c r="F87" i="15"/>
  <c r="I87" i="15"/>
  <c r="F88" i="15"/>
  <c r="I88" i="15"/>
  <c r="F89" i="15"/>
  <c r="I89" i="15"/>
  <c r="K47" i="16"/>
  <c r="K48" i="16"/>
  <c r="K49" i="16"/>
  <c r="K55" i="16"/>
  <c r="K68" i="16"/>
  <c r="K75" i="16"/>
  <c r="K76" i="16"/>
  <c r="K48" i="45"/>
  <c r="K75" i="45"/>
  <c r="K76" i="45"/>
  <c r="K86" i="45"/>
  <c r="K91" i="45"/>
  <c r="F91" i="50"/>
  <c r="F92" i="50"/>
  <c r="F93" i="50"/>
  <c r="F94" i="50"/>
  <c r="F82" i="50"/>
  <c r="F83" i="50"/>
  <c r="F84" i="50"/>
  <c r="F85" i="50"/>
  <c r="F86" i="50"/>
  <c r="F75" i="50"/>
  <c r="K75" i="50" s="1"/>
  <c r="F76" i="50"/>
  <c r="F77" i="50"/>
  <c r="K77" i="50" s="1"/>
  <c r="F66" i="50"/>
  <c r="K66" i="50" s="1"/>
  <c r="F67" i="50"/>
  <c r="K67" i="50" s="1"/>
  <c r="F68" i="50"/>
  <c r="F69" i="50"/>
  <c r="K69" i="50" s="1"/>
  <c r="F70" i="50"/>
  <c r="K70" i="50" s="1"/>
  <c r="F55" i="50"/>
  <c r="K55" i="50" s="1"/>
  <c r="F56" i="50"/>
  <c r="F57" i="50"/>
  <c r="K57" i="50" s="1"/>
  <c r="F58" i="50"/>
  <c r="F59" i="50"/>
  <c r="F60" i="50"/>
  <c r="F61" i="50"/>
  <c r="F46" i="50"/>
  <c r="F47" i="50"/>
  <c r="F48" i="50"/>
  <c r="F49" i="50"/>
  <c r="F50" i="50"/>
  <c r="F38" i="50"/>
  <c r="K38" i="50" s="1"/>
  <c r="F39" i="50"/>
  <c r="F40" i="50"/>
  <c r="K40" i="50" s="1"/>
  <c r="F27" i="50"/>
  <c r="K27" i="50" s="1"/>
  <c r="F28" i="50"/>
  <c r="K28" i="50" s="1"/>
  <c r="F29" i="50"/>
  <c r="F30" i="50"/>
  <c r="K30" i="50" s="1"/>
  <c r="F31" i="50"/>
  <c r="K31" i="50" s="1"/>
  <c r="F32" i="50"/>
  <c r="K32" i="50" s="1"/>
  <c r="F33" i="50"/>
  <c r="F11" i="50"/>
  <c r="K11" i="50" s="1"/>
  <c r="F12" i="50"/>
  <c r="F13" i="50"/>
  <c r="F14" i="50"/>
  <c r="F15" i="50"/>
  <c r="F16" i="50"/>
  <c r="F17" i="50"/>
  <c r="F18" i="50"/>
  <c r="F19" i="50"/>
  <c r="F20" i="50"/>
  <c r="F22" i="50"/>
  <c r="K22" i="50" s="1"/>
  <c r="K21" i="50"/>
  <c r="K75" i="49"/>
  <c r="K82" i="49"/>
  <c r="K83" i="49"/>
  <c r="K94" i="49"/>
  <c r="K102" i="75"/>
  <c r="K103" i="75"/>
  <c r="K57" i="42"/>
  <c r="K58" i="42"/>
  <c r="K60" i="42"/>
  <c r="K61" i="42"/>
  <c r="E6" i="29"/>
  <c r="K45" i="29"/>
  <c r="K89" i="73"/>
  <c r="K91" i="73"/>
  <c r="K92" i="73"/>
  <c r="K80" i="73"/>
  <c r="E6" i="75"/>
  <c r="A108" i="75" s="1"/>
  <c r="F6" i="75"/>
  <c r="D6" i="75"/>
  <c r="E6" i="74"/>
  <c r="F6" i="74"/>
  <c r="D6" i="74"/>
  <c r="E6" i="73"/>
  <c r="F6" i="73"/>
  <c r="D6" i="73"/>
  <c r="E6" i="72"/>
  <c r="F6" i="72"/>
  <c r="D6" i="72"/>
  <c r="E6" i="71"/>
  <c r="F6" i="71"/>
  <c r="D6" i="71"/>
  <c r="E6" i="70"/>
  <c r="F6" i="70"/>
  <c r="D6" i="70"/>
  <c r="E6" i="69"/>
  <c r="F6" i="69"/>
  <c r="D6" i="69"/>
  <c r="E6" i="68"/>
  <c r="F6" i="68"/>
  <c r="D6" i="68"/>
  <c r="E6" i="67"/>
  <c r="F6" i="67"/>
  <c r="D6" i="67"/>
  <c r="E6" i="66"/>
  <c r="F6" i="66"/>
  <c r="D6" i="66"/>
  <c r="E6" i="15"/>
  <c r="F6" i="15"/>
  <c r="D6" i="15"/>
  <c r="E6" i="16"/>
  <c r="F6" i="16"/>
  <c r="D6" i="16"/>
  <c r="E6" i="45"/>
  <c r="F6" i="45"/>
  <c r="D6" i="45"/>
  <c r="E6" i="50"/>
  <c r="F6" i="50"/>
  <c r="D6" i="50"/>
  <c r="E6" i="49"/>
  <c r="F6" i="49"/>
  <c r="D6" i="49"/>
  <c r="E6" i="43"/>
  <c r="A74" i="43" s="1"/>
  <c r="F6" i="43"/>
  <c r="D6" i="43"/>
  <c r="E6" i="22"/>
  <c r="F6" i="22"/>
  <c r="D6" i="22"/>
  <c r="E6" i="24"/>
  <c r="A93" i="24" s="1"/>
  <c r="F6" i="24"/>
  <c r="D6" i="24"/>
  <c r="E6" i="25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91" i="25" l="1"/>
  <c r="K71" i="25"/>
  <c r="K21" i="43"/>
  <c r="K48" i="43"/>
  <c r="C14" i="22"/>
  <c r="F14" i="22" s="1"/>
  <c r="C57" i="22"/>
  <c r="C39" i="22"/>
  <c r="K39" i="22" s="1"/>
  <c r="E99" i="81" s="1"/>
  <c r="C29" i="22"/>
  <c r="K13" i="22"/>
  <c r="K24" i="22"/>
  <c r="K83" i="25"/>
  <c r="K13" i="69"/>
  <c r="K19" i="30"/>
  <c r="K90" i="30"/>
  <c r="E16" i="81" s="1"/>
  <c r="K101" i="30"/>
  <c r="K11" i="15"/>
  <c r="K28" i="43"/>
  <c r="K34" i="43"/>
  <c r="K13" i="75"/>
  <c r="K78" i="75"/>
  <c r="K40" i="75"/>
  <c r="K85" i="75"/>
  <c r="K39" i="75"/>
  <c r="K84" i="75"/>
  <c r="K100" i="30"/>
  <c r="K37" i="24"/>
  <c r="K81" i="24"/>
  <c r="K63" i="25"/>
  <c r="K58" i="66"/>
  <c r="K75" i="73"/>
  <c r="K16" i="69"/>
  <c r="K15" i="69"/>
  <c r="K82" i="66"/>
  <c r="K93" i="66"/>
  <c r="K96" i="66" s="1"/>
  <c r="K67" i="43"/>
  <c r="K59" i="66"/>
  <c r="K31" i="70"/>
  <c r="K12" i="45"/>
  <c r="K70" i="49"/>
  <c r="K72" i="75"/>
  <c r="K33" i="75"/>
  <c r="K54" i="25"/>
  <c r="K48" i="69"/>
  <c r="K37" i="73"/>
  <c r="K60" i="15"/>
  <c r="K46" i="66"/>
  <c r="K52" i="66" s="1"/>
  <c r="K29" i="74"/>
  <c r="K18" i="73"/>
  <c r="K91" i="16"/>
  <c r="K124" i="30"/>
  <c r="K53" i="28"/>
  <c r="K123" i="30"/>
  <c r="K28" i="16"/>
  <c r="K42" i="24"/>
  <c r="K18" i="26"/>
  <c r="K48" i="26"/>
  <c r="K54" i="26" s="1"/>
  <c r="K77" i="49"/>
  <c r="K35" i="22"/>
  <c r="E96" i="81" s="1"/>
  <c r="K20" i="50"/>
  <c r="K50" i="50"/>
  <c r="K86" i="50"/>
  <c r="K19" i="50"/>
  <c r="K49" i="50"/>
  <c r="K85" i="50"/>
  <c r="K132" i="30"/>
  <c r="E26" i="81" s="1"/>
  <c r="K11" i="73"/>
  <c r="K11" i="68"/>
  <c r="K21" i="16"/>
  <c r="K85" i="70"/>
  <c r="K17" i="68"/>
  <c r="K32" i="72"/>
  <c r="K17" i="50"/>
  <c r="K47" i="50"/>
  <c r="K52" i="50" s="1"/>
  <c r="K83" i="50"/>
  <c r="K40" i="68"/>
  <c r="K31" i="15"/>
  <c r="K57" i="16"/>
  <c r="K82" i="50"/>
  <c r="K21" i="69"/>
  <c r="K43" i="67"/>
  <c r="K17" i="16"/>
  <c r="K20" i="24"/>
  <c r="K64" i="24"/>
  <c r="K33" i="26"/>
  <c r="K16" i="28"/>
  <c r="K14" i="45"/>
  <c r="K93" i="45"/>
  <c r="K33" i="49"/>
  <c r="K22" i="66"/>
  <c r="K76" i="66"/>
  <c r="K16" i="50"/>
  <c r="K81" i="30"/>
  <c r="K13" i="50"/>
  <c r="K24" i="50" s="1"/>
  <c r="K92" i="50"/>
  <c r="K50" i="71"/>
  <c r="K19" i="68"/>
  <c r="K53" i="15"/>
  <c r="K30" i="16"/>
  <c r="K56" i="45"/>
  <c r="K68" i="49"/>
  <c r="K48" i="66"/>
  <c r="K14" i="43"/>
  <c r="K59" i="28"/>
  <c r="K20" i="28"/>
  <c r="K34" i="72"/>
  <c r="K41" i="43"/>
  <c r="K63" i="28"/>
  <c r="K46" i="50"/>
  <c r="K15" i="50"/>
  <c r="K12" i="50"/>
  <c r="K58" i="50"/>
  <c r="K91" i="50"/>
  <c r="F97" i="73"/>
  <c r="D59" i="1" s="1"/>
  <c r="K22" i="30"/>
  <c r="K14" i="30"/>
  <c r="K18" i="30"/>
  <c r="K33" i="30"/>
  <c r="K20" i="30"/>
  <c r="K16" i="30"/>
  <c r="K125" i="30"/>
  <c r="K13" i="30"/>
  <c r="K27" i="30"/>
  <c r="E5" i="81" s="1"/>
  <c r="K83" i="30"/>
  <c r="K74" i="30"/>
  <c r="K80" i="30"/>
  <c r="K71" i="30"/>
  <c r="K79" i="30"/>
  <c r="K15" i="30"/>
  <c r="K95" i="30"/>
  <c r="E20" i="81" s="1"/>
  <c r="K21" i="30"/>
  <c r="K17" i="30"/>
  <c r="K32" i="30"/>
  <c r="E10" i="81" s="1"/>
  <c r="K84" i="30"/>
  <c r="K32" i="74"/>
  <c r="K52" i="74"/>
  <c r="F57" i="74"/>
  <c r="K19" i="71"/>
  <c r="K11" i="71"/>
  <c r="K77" i="70"/>
  <c r="K94" i="70"/>
  <c r="K68" i="70"/>
  <c r="K72" i="70" s="1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83" i="15" s="1"/>
  <c r="K19" i="16"/>
  <c r="K11" i="16"/>
  <c r="K40" i="16"/>
  <c r="K43" i="16" s="1"/>
  <c r="K61" i="16"/>
  <c r="K69" i="16"/>
  <c r="K85" i="16"/>
  <c r="K33" i="45"/>
  <c r="K39" i="45"/>
  <c r="K60" i="45"/>
  <c r="K68" i="45"/>
  <c r="K84" i="45"/>
  <c r="K85" i="49"/>
  <c r="K88" i="49" s="1"/>
  <c r="K22" i="49"/>
  <c r="K29" i="49"/>
  <c r="K48" i="49"/>
  <c r="K56" i="49"/>
  <c r="K76" i="49"/>
  <c r="K93" i="49"/>
  <c r="K96" i="49" s="1"/>
  <c r="K18" i="66"/>
  <c r="K24" i="66" s="1"/>
  <c r="K60" i="66"/>
  <c r="K68" i="66"/>
  <c r="K72" i="66" s="1"/>
  <c r="K23" i="43"/>
  <c r="K30" i="43"/>
  <c r="K55" i="43"/>
  <c r="I97" i="73"/>
  <c r="I99" i="50"/>
  <c r="I69" i="72"/>
  <c r="F57" i="1" s="1"/>
  <c r="K82" i="30"/>
  <c r="K42" i="69"/>
  <c r="F69" i="72"/>
  <c r="D57" i="1" s="1"/>
  <c r="I57" i="74"/>
  <c r="I55" i="71"/>
  <c r="K70" i="30"/>
  <c r="F55" i="71"/>
  <c r="K32" i="69"/>
  <c r="K83" i="67"/>
  <c r="K53" i="73"/>
  <c r="K73" i="73"/>
  <c r="K77" i="73" s="1"/>
  <c r="K90" i="73"/>
  <c r="K94" i="73" s="1"/>
  <c r="K15" i="43"/>
  <c r="K20" i="43"/>
  <c r="K25" i="43" s="1"/>
  <c r="K42" i="43"/>
  <c r="K60" i="43"/>
  <c r="K12" i="24"/>
  <c r="K31" i="24"/>
  <c r="K63" i="24"/>
  <c r="K88" i="24"/>
  <c r="K25" i="73"/>
  <c r="K18" i="16"/>
  <c r="K33" i="16"/>
  <c r="K60" i="16"/>
  <c r="K84" i="16"/>
  <c r="K22" i="43"/>
  <c r="K54" i="43"/>
  <c r="K69" i="43"/>
  <c r="K14" i="22"/>
  <c r="K30" i="22"/>
  <c r="K32" i="22" s="1"/>
  <c r="G71" i="79" s="1"/>
  <c r="K72" i="26"/>
  <c r="K65" i="73"/>
  <c r="K70" i="73" s="1"/>
  <c r="K81" i="73"/>
  <c r="K86" i="73" s="1"/>
  <c r="K11" i="43"/>
  <c r="K47" i="43"/>
  <c r="K51" i="43" s="1"/>
  <c r="K66" i="43"/>
  <c r="K36" i="24"/>
  <c r="K59" i="24"/>
  <c r="K76" i="24"/>
  <c r="K66" i="25"/>
  <c r="K16" i="73"/>
  <c r="K48" i="73"/>
  <c r="K56" i="73"/>
  <c r="K21" i="70"/>
  <c r="K13" i="70"/>
  <c r="K92" i="70"/>
  <c r="K96" i="70" s="1"/>
  <c r="K41" i="67"/>
  <c r="K56" i="16"/>
  <c r="K93" i="16"/>
  <c r="K96" i="16" s="1"/>
  <c r="K33" i="43"/>
  <c r="K23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99" i="67" s="1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3" i="50" s="1"/>
  <c r="K48" i="50"/>
  <c r="K60" i="50"/>
  <c r="K56" i="50"/>
  <c r="K68" i="50"/>
  <c r="K76" i="50"/>
  <c r="K84" i="50"/>
  <c r="K93" i="50"/>
  <c r="K17" i="70"/>
  <c r="K32" i="70"/>
  <c r="K28" i="70"/>
  <c r="K38" i="70"/>
  <c r="K47" i="70"/>
  <c r="K59" i="70"/>
  <c r="K55" i="70"/>
  <c r="K63" i="70" s="1"/>
  <c r="F57" i="69"/>
  <c r="D51" i="1" s="1"/>
  <c r="K88" i="67"/>
  <c r="K44" i="15"/>
  <c r="K21" i="49"/>
  <c r="K13" i="49"/>
  <c r="K32" i="49"/>
  <c r="K28" i="49"/>
  <c r="K59" i="49"/>
  <c r="K55" i="49"/>
  <c r="K67" i="49"/>
  <c r="K19" i="28"/>
  <c r="K15" i="28"/>
  <c r="I51" i="29"/>
  <c r="K99" i="75"/>
  <c r="K47" i="72"/>
  <c r="K17" i="71"/>
  <c r="K13" i="71"/>
  <c r="K32" i="71"/>
  <c r="K28" i="71"/>
  <c r="K38" i="71"/>
  <c r="I57" i="69"/>
  <c r="I65" i="22"/>
  <c r="K40" i="28"/>
  <c r="K20" i="29"/>
  <c r="K16" i="29"/>
  <c r="K62" i="15"/>
  <c r="K58" i="15"/>
  <c r="K54" i="15"/>
  <c r="K50" i="15"/>
  <c r="K78" i="15"/>
  <c r="K20" i="16"/>
  <c r="K16" i="16"/>
  <c r="K12" i="16"/>
  <c r="K31" i="16"/>
  <c r="K27" i="16"/>
  <c r="K50" i="16"/>
  <c r="K46" i="16"/>
  <c r="K58" i="16"/>
  <c r="K70" i="16"/>
  <c r="K66" i="16"/>
  <c r="K72" i="16" s="1"/>
  <c r="K86" i="16"/>
  <c r="K82" i="16"/>
  <c r="F65" i="22"/>
  <c r="D31" i="1" s="1"/>
  <c r="F77" i="26"/>
  <c r="I78" i="28"/>
  <c r="F19" i="1" s="1"/>
  <c r="G20" i="79"/>
  <c r="K29" i="75"/>
  <c r="K57" i="75"/>
  <c r="K48" i="74"/>
  <c r="K17" i="73"/>
  <c r="K36" i="73"/>
  <c r="K41" i="73" s="1"/>
  <c r="K46" i="72"/>
  <c r="K42" i="72"/>
  <c r="K30" i="72"/>
  <c r="K52" i="72"/>
  <c r="K20" i="71"/>
  <c r="K16" i="71"/>
  <c r="K12" i="71"/>
  <c r="K27" i="71"/>
  <c r="K46" i="71"/>
  <c r="I98" i="25"/>
  <c r="F25" i="1" s="1"/>
  <c r="K68" i="26"/>
  <c r="I77" i="26"/>
  <c r="K21" i="26"/>
  <c r="K17" i="26"/>
  <c r="K13" i="26"/>
  <c r="K32" i="26"/>
  <c r="K42" i="26"/>
  <c r="K45" i="26" s="1"/>
  <c r="G38" i="79" s="1"/>
  <c r="K51" i="26"/>
  <c r="K63" i="26"/>
  <c r="K59" i="26"/>
  <c r="I30" i="30"/>
  <c r="K30" i="30" s="1"/>
  <c r="K17" i="74"/>
  <c r="K43" i="72"/>
  <c r="K39" i="72"/>
  <c r="K35" i="72"/>
  <c r="K31" i="72"/>
  <c r="K53" i="72"/>
  <c r="K62" i="72"/>
  <c r="K15" i="71"/>
  <c r="K30" i="71"/>
  <c r="K40" i="71"/>
  <c r="K49" i="71"/>
  <c r="F98" i="25"/>
  <c r="D25" i="1" s="1"/>
  <c r="K51" i="28"/>
  <c r="K50" i="28"/>
  <c r="F78" i="28"/>
  <c r="D19" i="1" s="1"/>
  <c r="K131" i="30"/>
  <c r="E25" i="81" s="1"/>
  <c r="K42" i="28"/>
  <c r="H49" i="30"/>
  <c r="J49" i="30" s="1"/>
  <c r="H50" i="30"/>
  <c r="J50" i="30" s="1"/>
  <c r="K50" i="30" s="1"/>
  <c r="K45" i="72"/>
  <c r="K41" i="72"/>
  <c r="K37" i="72"/>
  <c r="K33" i="72"/>
  <c r="K29" i="72"/>
  <c r="K64" i="72"/>
  <c r="K60" i="72"/>
  <c r="K24" i="69"/>
  <c r="K20" i="69"/>
  <c r="K35" i="69"/>
  <c r="K31" i="69"/>
  <c r="K41" i="69"/>
  <c r="K50" i="69"/>
  <c r="K54" i="69" s="1"/>
  <c r="K18" i="69"/>
  <c r="K11" i="30"/>
  <c r="K72" i="30"/>
  <c r="K43" i="29"/>
  <c r="F51" i="29"/>
  <c r="D17" i="1" s="1"/>
  <c r="K21" i="74"/>
  <c r="K43" i="74"/>
  <c r="K13" i="73"/>
  <c r="K26" i="73"/>
  <c r="K45" i="73"/>
  <c r="K57" i="73"/>
  <c r="F74" i="43"/>
  <c r="D33" i="1" s="1"/>
  <c r="K51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51" i="68" s="1"/>
  <c r="K19" i="72"/>
  <c r="K17" i="72"/>
  <c r="K28" i="30"/>
  <c r="E6" i="81" s="1"/>
  <c r="K33" i="69"/>
  <c r="K29" i="69"/>
  <c r="K21" i="45"/>
  <c r="K17" i="45"/>
  <c r="K32" i="45"/>
  <c r="K28" i="45"/>
  <c r="K20" i="45"/>
  <c r="K16" i="45"/>
  <c r="K31" i="45"/>
  <c r="K27" i="45"/>
  <c r="K14" i="24"/>
  <c r="K21" i="24"/>
  <c r="K22" i="24" s="1"/>
  <c r="K25" i="24"/>
  <c r="K38" i="24"/>
  <c r="K43" i="24"/>
  <c r="K54" i="24"/>
  <c r="K55" i="24" s="1"/>
  <c r="K65" i="24"/>
  <c r="K70" i="24"/>
  <c r="K14" i="25"/>
  <c r="K33" i="25"/>
  <c r="K28" i="25"/>
  <c r="K24" i="25"/>
  <c r="K49" i="25"/>
  <c r="K41" i="25"/>
  <c r="K55" i="25"/>
  <c r="K64" i="25"/>
  <c r="K76" i="25"/>
  <c r="K72" i="25"/>
  <c r="K84" i="25"/>
  <c r="K92" i="25"/>
  <c r="K95" i="25" s="1"/>
  <c r="K16" i="25"/>
  <c r="K12" i="25"/>
  <c r="K30" i="25"/>
  <c r="K26" i="25"/>
  <c r="K22" i="25"/>
  <c r="K43" i="25"/>
  <c r="K39" i="25"/>
  <c r="K62" i="25"/>
  <c r="K74" i="25"/>
  <c r="K86" i="25"/>
  <c r="K82" i="25"/>
  <c r="K71" i="26"/>
  <c r="K74" i="26" s="1"/>
  <c r="K21" i="42"/>
  <c r="K17" i="42"/>
  <c r="K13" i="42"/>
  <c r="K26" i="42" s="1"/>
  <c r="K32" i="42"/>
  <c r="K42" i="42"/>
  <c r="K51" i="42"/>
  <c r="K63" i="42"/>
  <c r="K59" i="42"/>
  <c r="K19" i="42"/>
  <c r="K15" i="42"/>
  <c r="K34" i="42"/>
  <c r="K46" i="29"/>
  <c r="K42" i="29"/>
  <c r="K23" i="29"/>
  <c r="K19" i="29"/>
  <c r="K15" i="29"/>
  <c r="K126" i="30"/>
  <c r="K16" i="72"/>
  <c r="K22" i="71"/>
  <c r="K18" i="71"/>
  <c r="K14" i="71"/>
  <c r="K33" i="71"/>
  <c r="K29" i="71"/>
  <c r="K39" i="71"/>
  <c r="K48" i="71"/>
  <c r="K19" i="70"/>
  <c r="K15" i="70"/>
  <c r="K11" i="70"/>
  <c r="K24" i="70" s="1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9" i="45"/>
  <c r="K15" i="45"/>
  <c r="K11" i="45"/>
  <c r="K30" i="45"/>
  <c r="K40" i="45"/>
  <c r="K49" i="45"/>
  <c r="K61" i="45"/>
  <c r="K57" i="45"/>
  <c r="K69" i="45"/>
  <c r="K72" i="45" s="1"/>
  <c r="K77" i="45"/>
  <c r="K79" i="45" s="1"/>
  <c r="K85" i="45"/>
  <c r="K88" i="45" s="1"/>
  <c r="K94" i="45"/>
  <c r="K96" i="45" s="1"/>
  <c r="K32" i="66"/>
  <c r="K28" i="66"/>
  <c r="K38" i="66"/>
  <c r="K43" i="66" s="1"/>
  <c r="K61" i="43"/>
  <c r="K15" i="22"/>
  <c r="K11" i="22"/>
  <c r="K21" i="22"/>
  <c r="K36" i="22"/>
  <c r="K57" i="22"/>
  <c r="K62" i="22" s="1"/>
  <c r="K16" i="22"/>
  <c r="K12" i="22"/>
  <c r="K22" i="22"/>
  <c r="K37" i="22"/>
  <c r="E97" i="81" s="1"/>
  <c r="K22" i="29"/>
  <c r="K18" i="29"/>
  <c r="H176" i="30"/>
  <c r="H180" i="30"/>
  <c r="H177" i="30"/>
  <c r="H181" i="30"/>
  <c r="H178" i="30"/>
  <c r="H175" i="30"/>
  <c r="H179" i="30"/>
  <c r="H174" i="30"/>
  <c r="F93" i="24"/>
  <c r="D27" i="1" s="1"/>
  <c r="K82" i="24"/>
  <c r="K84" i="24" s="1"/>
  <c r="D55" i="1"/>
  <c r="K79" i="66"/>
  <c r="I99" i="66"/>
  <c r="F35" i="1" s="1"/>
  <c r="K14" i="75"/>
  <c r="K21" i="75"/>
  <c r="K38" i="75"/>
  <c r="K51" i="75"/>
  <c r="K66" i="75"/>
  <c r="K79" i="75"/>
  <c r="K81" i="75" s="1"/>
  <c r="K91" i="75"/>
  <c r="K93" i="75" s="1"/>
  <c r="K87" i="15"/>
  <c r="F61" i="1"/>
  <c r="K23" i="74"/>
  <c r="K19" i="74"/>
  <c r="K30" i="74"/>
  <c r="K28" i="73"/>
  <c r="K47" i="73"/>
  <c r="K59" i="73"/>
  <c r="K55" i="73"/>
  <c r="F99" i="49"/>
  <c r="D37" i="1" s="1"/>
  <c r="K105" i="75"/>
  <c r="F31" i="30"/>
  <c r="I31" i="30"/>
  <c r="I99" i="45"/>
  <c r="F41" i="1" s="1"/>
  <c r="K23" i="72"/>
  <c r="K21" i="15"/>
  <c r="K17" i="15"/>
  <c r="K13" i="15"/>
  <c r="K32" i="15"/>
  <c r="K28" i="15"/>
  <c r="K42" i="15"/>
  <c r="K69" i="28"/>
  <c r="E40" i="81" s="1"/>
  <c r="K17" i="28"/>
  <c r="K13" i="28"/>
  <c r="K32" i="28"/>
  <c r="K52" i="28"/>
  <c r="K64" i="28"/>
  <c r="K60" i="28"/>
  <c r="K72" i="28"/>
  <c r="K15" i="72"/>
  <c r="F29" i="30"/>
  <c r="K29" i="30" s="1"/>
  <c r="K50" i="22"/>
  <c r="K22" i="72"/>
  <c r="K14" i="72"/>
  <c r="K79" i="16"/>
  <c r="K15" i="67"/>
  <c r="K11" i="67"/>
  <c r="F99" i="16"/>
  <c r="D43" i="1" s="1"/>
  <c r="K45" i="42"/>
  <c r="K88" i="15"/>
  <c r="K35" i="68"/>
  <c r="K24" i="75"/>
  <c r="K24" i="72"/>
  <c r="K24" i="73"/>
  <c r="K47" i="75"/>
  <c r="K69" i="75"/>
  <c r="F23" i="1"/>
  <c r="K52" i="45"/>
  <c r="K86" i="15"/>
  <c r="K79" i="70"/>
  <c r="K39" i="24"/>
  <c r="K35" i="75"/>
  <c r="K79" i="49"/>
  <c r="K79" i="50"/>
  <c r="K65" i="26"/>
  <c r="K41" i="75"/>
  <c r="K62" i="75"/>
  <c r="K21" i="72"/>
  <c r="K34" i="69"/>
  <c r="K30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F94" i="15"/>
  <c r="D45" i="1" s="1"/>
  <c r="I99" i="49"/>
  <c r="F37" i="1" s="1"/>
  <c r="K11" i="24"/>
  <c r="K16" i="24" s="1"/>
  <c r="K26" i="24"/>
  <c r="K30" i="24"/>
  <c r="K33" i="24" s="1"/>
  <c r="K44" i="24"/>
  <c r="K48" i="24"/>
  <c r="K50" i="24" s="1"/>
  <c r="K58" i="24"/>
  <c r="K60" i="24" s="1"/>
  <c r="K71" i="24"/>
  <c r="K75" i="24"/>
  <c r="K78" i="24" s="1"/>
  <c r="K87" i="24"/>
  <c r="K70" i="28"/>
  <c r="E41" i="81" s="1"/>
  <c r="K18" i="28"/>
  <c r="K14" i="28"/>
  <c r="K33" i="28"/>
  <c r="K29" i="28"/>
  <c r="K49" i="28"/>
  <c r="K55" i="28" s="1"/>
  <c r="K61" i="28"/>
  <c r="K73" i="28"/>
  <c r="K54" i="42"/>
  <c r="K52" i="75"/>
  <c r="K75" i="75"/>
  <c r="K87" i="75"/>
  <c r="K85" i="67"/>
  <c r="K20" i="72"/>
  <c r="K18" i="72"/>
  <c r="K13" i="72"/>
  <c r="K38" i="68"/>
  <c r="K19" i="49"/>
  <c r="K15" i="49"/>
  <c r="K11" i="49"/>
  <c r="K30" i="49"/>
  <c r="K35" i="49" s="1"/>
  <c r="K49" i="49"/>
  <c r="K52" i="49" s="1"/>
  <c r="K61" i="49"/>
  <c r="K57" i="49"/>
  <c r="K69" i="49"/>
  <c r="I108" i="75"/>
  <c r="F29" i="1" s="1"/>
  <c r="K14" i="29"/>
  <c r="E64" i="1"/>
  <c r="K134" i="30"/>
  <c r="E28" i="81" s="1"/>
  <c r="K88" i="66"/>
  <c r="K72" i="50"/>
  <c r="F99" i="50"/>
  <c r="D39" i="1" s="1"/>
  <c r="K59" i="50"/>
  <c r="K37" i="42"/>
  <c r="K63" i="66"/>
  <c r="K57" i="72"/>
  <c r="G143" i="79" s="1"/>
  <c r="F59" i="1"/>
  <c r="F102" i="67"/>
  <c r="D47" i="1" s="1"/>
  <c r="I94" i="15"/>
  <c r="F45" i="1" s="1"/>
  <c r="K43" i="49"/>
  <c r="F51" i="1"/>
  <c r="F54" i="68"/>
  <c r="D49" i="1" s="1"/>
  <c r="I99" i="16"/>
  <c r="F43" i="1" s="1"/>
  <c r="F39" i="1"/>
  <c r="H39" i="1" s="1"/>
  <c r="I39" i="1" s="1"/>
  <c r="F99" i="66"/>
  <c r="D35" i="1" s="1"/>
  <c r="I74" i="43"/>
  <c r="F33" i="1" s="1"/>
  <c r="F108" i="75"/>
  <c r="D29" i="1" s="1"/>
  <c r="I93" i="24"/>
  <c r="F27" i="1" s="1"/>
  <c r="K15" i="25"/>
  <c r="K11" i="25"/>
  <c r="K29" i="25"/>
  <c r="K25" i="25"/>
  <c r="K42" i="25"/>
  <c r="K65" i="25"/>
  <c r="K77" i="25"/>
  <c r="K73" i="25"/>
  <c r="K85" i="25"/>
  <c r="K133" i="30"/>
  <c r="E27" i="81" s="1"/>
  <c r="F55" i="1"/>
  <c r="F99" i="70"/>
  <c r="D53" i="1" s="1"/>
  <c r="I54" i="68"/>
  <c r="F49" i="1" s="1"/>
  <c r="I102" i="67"/>
  <c r="F47" i="1" s="1"/>
  <c r="F31" i="1"/>
  <c r="D23" i="1"/>
  <c r="F68" i="42"/>
  <c r="D21" i="1" s="1"/>
  <c r="F17" i="1"/>
  <c r="D61" i="1"/>
  <c r="F99" i="45"/>
  <c r="D41" i="1" s="1"/>
  <c r="I68" i="42"/>
  <c r="F21" i="1" s="1"/>
  <c r="K26" i="69" l="1"/>
  <c r="G123" i="79" s="1"/>
  <c r="K57" i="43"/>
  <c r="K44" i="43"/>
  <c r="K17" i="43"/>
  <c r="K71" i="43"/>
  <c r="K38" i="43"/>
  <c r="D106" i="80" s="1"/>
  <c r="K59" i="25"/>
  <c r="H43" i="1"/>
  <c r="E132" i="81" s="1"/>
  <c r="K18" i="75"/>
  <c r="G60" i="77" s="1"/>
  <c r="G65" i="77"/>
  <c r="H35" i="1"/>
  <c r="K50" i="73"/>
  <c r="G146" i="77" s="1"/>
  <c r="K37" i="74"/>
  <c r="G153" i="79" s="1"/>
  <c r="K128" i="30"/>
  <c r="G16" i="77" s="1"/>
  <c r="K26" i="74"/>
  <c r="G152" i="79" s="1"/>
  <c r="K35" i="16"/>
  <c r="K43" i="68"/>
  <c r="K54" i="68" s="1"/>
  <c r="A54" i="68" s="1"/>
  <c r="K21" i="73"/>
  <c r="D208" i="80" s="1"/>
  <c r="K96" i="50"/>
  <c r="K99" i="50" s="1"/>
  <c r="A99" i="50" s="1"/>
  <c r="K72" i="24"/>
  <c r="G55" i="77" s="1"/>
  <c r="K35" i="66"/>
  <c r="K66" i="24"/>
  <c r="K88" i="50"/>
  <c r="K45" i="24"/>
  <c r="G53" i="77" s="1"/>
  <c r="K27" i="24"/>
  <c r="G50" i="77" s="1"/>
  <c r="K65" i="42"/>
  <c r="K68" i="42" s="1"/>
  <c r="A68" i="42" s="1"/>
  <c r="K24" i="71"/>
  <c r="G135" i="79" s="1"/>
  <c r="K43" i="70"/>
  <c r="G130" i="79" s="1"/>
  <c r="K48" i="29"/>
  <c r="G22" i="77" s="1"/>
  <c r="K37" i="26"/>
  <c r="G37" i="79" s="1"/>
  <c r="K43" i="45"/>
  <c r="K45" i="69"/>
  <c r="G125" i="79" s="1"/>
  <c r="K24" i="45"/>
  <c r="K88" i="16"/>
  <c r="K63" i="45"/>
  <c r="K35" i="50"/>
  <c r="K52" i="71"/>
  <c r="G136" i="77" s="1"/>
  <c r="K72" i="49"/>
  <c r="E126" i="81" s="1"/>
  <c r="K46" i="15"/>
  <c r="G106" i="77" s="1"/>
  <c r="K90" i="24"/>
  <c r="K87" i="30"/>
  <c r="E14" i="81" s="1"/>
  <c r="K24" i="30"/>
  <c r="D3" i="80" s="1"/>
  <c r="K76" i="30"/>
  <c r="E13" i="81" s="1"/>
  <c r="K47" i="22"/>
  <c r="G72" i="79" s="1"/>
  <c r="K46" i="28"/>
  <c r="E36" i="81" s="1"/>
  <c r="K33" i="73"/>
  <c r="K52" i="16"/>
  <c r="K67" i="15"/>
  <c r="E138" i="81" s="1"/>
  <c r="K61" i="73"/>
  <c r="G39" i="79"/>
  <c r="K26" i="26"/>
  <c r="G36" i="79" s="1"/>
  <c r="K54" i="74"/>
  <c r="G155" i="79" s="1"/>
  <c r="K35" i="45"/>
  <c r="G100" i="79" s="1"/>
  <c r="K24" i="68"/>
  <c r="K63" i="43"/>
  <c r="K63" i="16"/>
  <c r="K18" i="67"/>
  <c r="D159" i="80" s="1"/>
  <c r="K63" i="50"/>
  <c r="H27" i="1"/>
  <c r="E61" i="81" s="1"/>
  <c r="K24" i="15"/>
  <c r="E135" i="81" s="1"/>
  <c r="K24" i="16"/>
  <c r="G103" i="79" s="1"/>
  <c r="H102" i="79" s="1"/>
  <c r="K35" i="70"/>
  <c r="G127" i="77" s="1"/>
  <c r="K35" i="15"/>
  <c r="G105" i="77" s="1"/>
  <c r="G88" i="77"/>
  <c r="K68" i="25"/>
  <c r="K52" i="70"/>
  <c r="G129" i="77" s="1"/>
  <c r="K46" i="67"/>
  <c r="G112" i="77" s="1"/>
  <c r="E8" i="81"/>
  <c r="E7" i="81"/>
  <c r="I139" i="30"/>
  <c r="F15" i="1" s="1"/>
  <c r="F64" i="1" s="1"/>
  <c r="K43" i="71"/>
  <c r="G137" i="79" s="1"/>
  <c r="G118" i="79"/>
  <c r="K74" i="15"/>
  <c r="K26" i="22"/>
  <c r="G70" i="79" s="1"/>
  <c r="K88" i="25"/>
  <c r="D54" i="80" s="1"/>
  <c r="G50" i="79"/>
  <c r="E64" i="81"/>
  <c r="G79" i="77"/>
  <c r="G79" i="79"/>
  <c r="E107" i="81"/>
  <c r="G48" i="79"/>
  <c r="E62" i="81"/>
  <c r="D60" i="80"/>
  <c r="G64" i="77"/>
  <c r="G64" i="79"/>
  <c r="E86" i="81"/>
  <c r="D86" i="80"/>
  <c r="E70" i="81"/>
  <c r="D68" i="80"/>
  <c r="G115" i="77"/>
  <c r="G117" i="79"/>
  <c r="E150" i="81"/>
  <c r="D167" i="80"/>
  <c r="G111" i="77"/>
  <c r="G113" i="79"/>
  <c r="E144" i="81"/>
  <c r="D161" i="80"/>
  <c r="E159" i="81"/>
  <c r="D185" i="80"/>
  <c r="G54" i="79"/>
  <c r="E69" i="81"/>
  <c r="D67" i="80"/>
  <c r="E81" i="81"/>
  <c r="D81" i="80"/>
  <c r="G49" i="77"/>
  <c r="G49" i="79"/>
  <c r="E63" i="81"/>
  <c r="D61" i="80"/>
  <c r="G82" i="77"/>
  <c r="D110" i="80"/>
  <c r="E71" i="81"/>
  <c r="D69" i="80"/>
  <c r="E57" i="81"/>
  <c r="D52" i="80"/>
  <c r="G77" i="79"/>
  <c r="E105" i="81"/>
  <c r="D104" i="80"/>
  <c r="G32" i="79"/>
  <c r="E43" i="81"/>
  <c r="D33" i="80"/>
  <c r="E124" i="81"/>
  <c r="D128" i="80"/>
  <c r="G86" i="77"/>
  <c r="G88" i="79"/>
  <c r="E115" i="81"/>
  <c r="D116" i="80"/>
  <c r="E82" i="81"/>
  <c r="D82" i="80"/>
  <c r="E68" i="81"/>
  <c r="D66" i="80"/>
  <c r="E139" i="81"/>
  <c r="D153" i="80"/>
  <c r="G90" i="79"/>
  <c r="E118" i="81"/>
  <c r="D119" i="80"/>
  <c r="E89" i="81"/>
  <c r="D89" i="80"/>
  <c r="G130" i="77"/>
  <c r="G132" i="79"/>
  <c r="E162" i="81"/>
  <c r="D188" i="80"/>
  <c r="G115" i="79"/>
  <c r="E147" i="81"/>
  <c r="D164" i="80"/>
  <c r="E114" i="81"/>
  <c r="D115" i="80"/>
  <c r="E176" i="81"/>
  <c r="D210" i="80"/>
  <c r="G110" i="77"/>
  <c r="G112" i="79"/>
  <c r="E143" i="81"/>
  <c r="D160" i="80"/>
  <c r="E119" i="81"/>
  <c r="D120" i="80"/>
  <c r="G16" i="79"/>
  <c r="G126" i="77"/>
  <c r="G128" i="79"/>
  <c r="E158" i="81"/>
  <c r="D184" i="80"/>
  <c r="E59" i="81"/>
  <c r="E123" i="81"/>
  <c r="D127" i="80"/>
  <c r="G33" i="77"/>
  <c r="G33" i="79"/>
  <c r="E44" i="81"/>
  <c r="D34" i="80"/>
  <c r="E122" i="81"/>
  <c r="D126" i="80"/>
  <c r="G56" i="77"/>
  <c r="G56" i="79"/>
  <c r="E73" i="81"/>
  <c r="D71" i="80"/>
  <c r="G53" i="79"/>
  <c r="E67" i="81"/>
  <c r="D65" i="80"/>
  <c r="E137" i="81"/>
  <c r="D151" i="80"/>
  <c r="G152" i="77"/>
  <c r="G154" i="79"/>
  <c r="E145" i="81"/>
  <c r="D162" i="80"/>
  <c r="G81" i="77"/>
  <c r="G81" i="79"/>
  <c r="E109" i="81"/>
  <c r="D108" i="80"/>
  <c r="G62" i="77"/>
  <c r="E84" i="81"/>
  <c r="D84" i="80"/>
  <c r="E79" i="81"/>
  <c r="D79" i="80"/>
  <c r="G85" i="77"/>
  <c r="G87" i="79"/>
  <c r="E113" i="81"/>
  <c r="D114" i="80"/>
  <c r="G78" i="77"/>
  <c r="G78" i="79"/>
  <c r="E106" i="81"/>
  <c r="D105" i="80"/>
  <c r="G65" i="79"/>
  <c r="E87" i="81"/>
  <c r="D87" i="80"/>
  <c r="K77" i="26"/>
  <c r="A77" i="26" s="1"/>
  <c r="K18" i="22"/>
  <c r="G69" i="79" s="1"/>
  <c r="G62" i="79"/>
  <c r="E83" i="81"/>
  <c r="D83" i="80"/>
  <c r="G66" i="77"/>
  <c r="G66" i="79"/>
  <c r="E90" i="81"/>
  <c r="D90" i="80"/>
  <c r="G89" i="79"/>
  <c r="E116" i="81"/>
  <c r="D117" i="80"/>
  <c r="E112" i="81"/>
  <c r="I35" i="1"/>
  <c r="E56" i="81"/>
  <c r="D51" i="80"/>
  <c r="D150" i="80"/>
  <c r="E117" i="81"/>
  <c r="D118" i="80"/>
  <c r="G97" i="77"/>
  <c r="G99" i="79"/>
  <c r="E129" i="81"/>
  <c r="D138" i="80"/>
  <c r="K63" i="49"/>
  <c r="G148" i="79"/>
  <c r="E177" i="81"/>
  <c r="D211" i="80"/>
  <c r="E88" i="81"/>
  <c r="D88" i="80"/>
  <c r="E72" i="81"/>
  <c r="G51" i="77"/>
  <c r="G51" i="79"/>
  <c r="E65" i="81"/>
  <c r="D63" i="80"/>
  <c r="E151" i="81"/>
  <c r="D168" i="80"/>
  <c r="E148" i="81"/>
  <c r="D165" i="80"/>
  <c r="G80" i="77"/>
  <c r="G80" i="79"/>
  <c r="E108" i="81"/>
  <c r="D107" i="80"/>
  <c r="E80" i="81"/>
  <c r="D80" i="80"/>
  <c r="G52" i="77"/>
  <c r="G52" i="79"/>
  <c r="E66" i="81"/>
  <c r="D64" i="80"/>
  <c r="G63" i="77"/>
  <c r="G63" i="79"/>
  <c r="E85" i="81"/>
  <c r="D85" i="80"/>
  <c r="E77" i="81"/>
  <c r="D77" i="80"/>
  <c r="E140" i="81"/>
  <c r="D154" i="80"/>
  <c r="E131" i="81"/>
  <c r="D140" i="80"/>
  <c r="E110" i="81"/>
  <c r="D109" i="80"/>
  <c r="G57" i="77"/>
  <c r="G57" i="79"/>
  <c r="E74" i="81"/>
  <c r="D72" i="80"/>
  <c r="G74" i="79"/>
  <c r="K35" i="71"/>
  <c r="G136" i="79" s="1"/>
  <c r="E60" i="81"/>
  <c r="D55" i="80"/>
  <c r="K49" i="72"/>
  <c r="G142" i="79" s="1"/>
  <c r="G61" i="79"/>
  <c r="E78" i="81"/>
  <c r="D78" i="80"/>
  <c r="H53" i="1"/>
  <c r="H37" i="1"/>
  <c r="H41" i="1"/>
  <c r="H96" i="79"/>
  <c r="E127" i="81"/>
  <c r="J139" i="30"/>
  <c r="H61" i="1"/>
  <c r="G153" i="77"/>
  <c r="E182" i="81"/>
  <c r="D219" i="80"/>
  <c r="G150" i="77"/>
  <c r="G141" i="77"/>
  <c r="E171" i="81"/>
  <c r="D202" i="80"/>
  <c r="K66" i="72"/>
  <c r="G135" i="77"/>
  <c r="E166" i="81"/>
  <c r="D195" i="80"/>
  <c r="G123" i="77"/>
  <c r="E156" i="81"/>
  <c r="D179" i="80"/>
  <c r="K37" i="69"/>
  <c r="G124" i="79" s="1"/>
  <c r="G71" i="77"/>
  <c r="E94" i="81"/>
  <c r="D96" i="80"/>
  <c r="K53" i="22"/>
  <c r="G73" i="79" s="1"/>
  <c r="G74" i="77"/>
  <c r="E103" i="81"/>
  <c r="D99" i="80"/>
  <c r="H25" i="1"/>
  <c r="H23" i="1"/>
  <c r="E50" i="81"/>
  <c r="D42" i="80"/>
  <c r="E51" i="81"/>
  <c r="D43" i="80"/>
  <c r="G36" i="77"/>
  <c r="E46" i="81"/>
  <c r="D38" i="80"/>
  <c r="G38" i="77"/>
  <c r="E48" i="81"/>
  <c r="D40" i="80"/>
  <c r="E49" i="81"/>
  <c r="D41" i="80"/>
  <c r="G37" i="77"/>
  <c r="E47" i="81"/>
  <c r="D39" i="80"/>
  <c r="K66" i="28"/>
  <c r="G28" i="79" s="1"/>
  <c r="K26" i="28"/>
  <c r="H19" i="1"/>
  <c r="E37" i="81"/>
  <c r="D26" i="80"/>
  <c r="E23" i="81"/>
  <c r="K49" i="30"/>
  <c r="H33" i="1"/>
  <c r="H31" i="1"/>
  <c r="I31" i="1" s="1"/>
  <c r="K51" i="25"/>
  <c r="K136" i="30"/>
  <c r="K75" i="28"/>
  <c r="G29" i="79" s="1"/>
  <c r="K24" i="49"/>
  <c r="G61" i="77"/>
  <c r="K73" i="67"/>
  <c r="H184" i="30"/>
  <c r="K31" i="30"/>
  <c r="H55" i="1"/>
  <c r="G87" i="77"/>
  <c r="K37" i="28"/>
  <c r="G26" i="79" s="1"/>
  <c r="G113" i="77"/>
  <c r="H29" i="1"/>
  <c r="I29" i="1" s="1"/>
  <c r="K79" i="25"/>
  <c r="H45" i="1"/>
  <c r="I45" i="1" s="1"/>
  <c r="H51" i="1"/>
  <c r="I51" i="1" s="1"/>
  <c r="G54" i="77"/>
  <c r="K99" i="66"/>
  <c r="A99" i="66" s="1"/>
  <c r="K91" i="15"/>
  <c r="G39" i="77"/>
  <c r="K26" i="72"/>
  <c r="G141" i="79" s="1"/>
  <c r="G116" i="77"/>
  <c r="H94" i="77"/>
  <c r="H59" i="1"/>
  <c r="K19" i="25"/>
  <c r="H49" i="1"/>
  <c r="I49" i="1" s="1"/>
  <c r="H47" i="1"/>
  <c r="K93" i="24"/>
  <c r="H21" i="1"/>
  <c r="K36" i="25"/>
  <c r="G77" i="77"/>
  <c r="G32" i="77"/>
  <c r="G48" i="77"/>
  <c r="K26" i="29"/>
  <c r="G20" i="77" s="1"/>
  <c r="H57" i="1"/>
  <c r="K99" i="45"/>
  <c r="A99" i="45" s="1"/>
  <c r="H17" i="1"/>
  <c r="K102" i="79" l="1"/>
  <c r="J102" i="79"/>
  <c r="H35" i="79"/>
  <c r="I43" i="1"/>
  <c r="D177" i="80"/>
  <c r="H122" i="79"/>
  <c r="E154" i="81"/>
  <c r="G121" i="77"/>
  <c r="K74" i="43"/>
  <c r="D144" i="80"/>
  <c r="K99" i="16"/>
  <c r="A99" i="16" s="1"/>
  <c r="K108" i="75"/>
  <c r="D76" i="80"/>
  <c r="E76" i="81"/>
  <c r="G60" i="79"/>
  <c r="H59" i="79" s="1"/>
  <c r="E3" i="81"/>
  <c r="G9" i="79"/>
  <c r="G8" i="77"/>
  <c r="G13" i="79"/>
  <c r="D7" i="80"/>
  <c r="G13" i="77"/>
  <c r="D10" i="80"/>
  <c r="D18" i="80"/>
  <c r="G111" i="79"/>
  <c r="G109" i="77"/>
  <c r="E142" i="81"/>
  <c r="E32" i="81"/>
  <c r="G27" i="77"/>
  <c r="G27" i="79"/>
  <c r="D6" i="80"/>
  <c r="D217" i="80"/>
  <c r="G12" i="77"/>
  <c r="E111" i="81"/>
  <c r="E180" i="81"/>
  <c r="D70" i="80"/>
  <c r="G82" i="79"/>
  <c r="H76" i="79" s="1"/>
  <c r="D62" i="80"/>
  <c r="G108" i="79"/>
  <c r="K97" i="73"/>
  <c r="A97" i="73" s="1"/>
  <c r="D186" i="80"/>
  <c r="D25" i="80"/>
  <c r="H31" i="79"/>
  <c r="K31" i="79" s="1"/>
  <c r="G92" i="77"/>
  <c r="E164" i="81"/>
  <c r="G114" i="79"/>
  <c r="E174" i="81"/>
  <c r="D187" i="80"/>
  <c r="E160" i="81"/>
  <c r="C39" i="30"/>
  <c r="F39" i="30" s="1"/>
  <c r="K39" i="30" s="1"/>
  <c r="E161" i="81"/>
  <c r="K99" i="70"/>
  <c r="A99" i="70" s="1"/>
  <c r="G131" i="79"/>
  <c r="G128" i="77"/>
  <c r="H125" i="77" s="1"/>
  <c r="G138" i="79"/>
  <c r="E136" i="81"/>
  <c r="G107" i="79"/>
  <c r="D97" i="80"/>
  <c r="E146" i="81"/>
  <c r="E95" i="81"/>
  <c r="E167" i="81"/>
  <c r="D152" i="80"/>
  <c r="D139" i="80"/>
  <c r="G22" i="79"/>
  <c r="H19" i="79" s="1"/>
  <c r="G55" i="79"/>
  <c r="H47" i="79" s="1"/>
  <c r="D130" i="80"/>
  <c r="D193" i="80"/>
  <c r="G133" i="77"/>
  <c r="D163" i="80"/>
  <c r="D196" i="80"/>
  <c r="G72" i="77"/>
  <c r="G94" i="79"/>
  <c r="I27" i="1"/>
  <c r="C41" i="30"/>
  <c r="C103" i="30"/>
  <c r="F103" i="30" s="1"/>
  <c r="K103" i="30" s="1"/>
  <c r="K105" i="30" s="1"/>
  <c r="G15" i="77" s="1"/>
  <c r="G26" i="77"/>
  <c r="H84" i="77"/>
  <c r="G98" i="77"/>
  <c r="H96" i="77" s="1"/>
  <c r="G101" i="77"/>
  <c r="H100" i="77" s="1"/>
  <c r="H19" i="77"/>
  <c r="H134" i="79"/>
  <c r="K134" i="79" s="1"/>
  <c r="E130" i="81"/>
  <c r="E133" i="81"/>
  <c r="G129" i="79"/>
  <c r="D149" i="80"/>
  <c r="G70" i="77"/>
  <c r="G106" i="79"/>
  <c r="E38" i="81"/>
  <c r="D95" i="80"/>
  <c r="G104" i="77"/>
  <c r="H103" i="77" s="1"/>
  <c r="H59" i="77"/>
  <c r="E93" i="81"/>
  <c r="K94" i="15"/>
  <c r="A94" i="15" s="1"/>
  <c r="D194" i="80"/>
  <c r="H151" i="79"/>
  <c r="K151" i="79" s="1"/>
  <c r="E165" i="81"/>
  <c r="G134" i="77"/>
  <c r="E92" i="81"/>
  <c r="J134" i="79"/>
  <c r="E30" i="81"/>
  <c r="D16" i="80"/>
  <c r="G43" i="79"/>
  <c r="G43" i="77"/>
  <c r="E141" i="81"/>
  <c r="I47" i="1"/>
  <c r="E175" i="81"/>
  <c r="D209" i="80"/>
  <c r="K51" i="29"/>
  <c r="A51" i="29" s="1"/>
  <c r="G147" i="77"/>
  <c r="G149" i="79"/>
  <c r="E178" i="81"/>
  <c r="D212" i="80"/>
  <c r="H68" i="79"/>
  <c r="G147" i="79"/>
  <c r="G91" i="77"/>
  <c r="G93" i="79"/>
  <c r="E121" i="81"/>
  <c r="D125" i="80"/>
  <c r="E104" i="81"/>
  <c r="I33" i="1"/>
  <c r="G28" i="77"/>
  <c r="G69" i="77"/>
  <c r="E170" i="81"/>
  <c r="E125" i="81"/>
  <c r="D129" i="80"/>
  <c r="H98" i="79"/>
  <c r="K57" i="69"/>
  <c r="A57" i="69" s="1"/>
  <c r="E128" i="81"/>
  <c r="I41" i="1"/>
  <c r="E163" i="81"/>
  <c r="I55" i="1"/>
  <c r="E29" i="81"/>
  <c r="I17" i="1"/>
  <c r="G42" i="79"/>
  <c r="G42" i="77"/>
  <c r="G45" i="77"/>
  <c r="E58" i="81"/>
  <c r="D53" i="80"/>
  <c r="G17" i="79"/>
  <c r="G17" i="77"/>
  <c r="E33" i="81"/>
  <c r="I19" i="1"/>
  <c r="E45" i="81"/>
  <c r="I23" i="1"/>
  <c r="D94" i="80"/>
  <c r="G144" i="79"/>
  <c r="H140" i="79" s="1"/>
  <c r="K69" i="72"/>
  <c r="A69" i="72" s="1"/>
  <c r="G140" i="77"/>
  <c r="E120" i="81"/>
  <c r="I37" i="1"/>
  <c r="K65" i="22"/>
  <c r="K55" i="71"/>
  <c r="A55" i="71" s="1"/>
  <c r="H86" i="79"/>
  <c r="E42" i="81"/>
  <c r="I21" i="1"/>
  <c r="G114" i="77"/>
  <c r="G116" i="79"/>
  <c r="E149" i="81"/>
  <c r="D166" i="80"/>
  <c r="E168" i="81"/>
  <c r="I57" i="1"/>
  <c r="H31" i="77"/>
  <c r="H76" i="77"/>
  <c r="K102" i="67"/>
  <c r="A102" i="67" s="1"/>
  <c r="E173" i="81"/>
  <c r="I59" i="1"/>
  <c r="K99" i="49"/>
  <c r="A99" i="49" s="1"/>
  <c r="G145" i="77"/>
  <c r="G44" i="77"/>
  <c r="G44" i="79"/>
  <c r="E55" i="81"/>
  <c r="D50" i="80"/>
  <c r="D27" i="80"/>
  <c r="G25" i="79"/>
  <c r="H24" i="79" s="1"/>
  <c r="E52" i="81"/>
  <c r="I25" i="1"/>
  <c r="D201" i="80"/>
  <c r="E179" i="81"/>
  <c r="I61" i="1"/>
  <c r="E157" i="81"/>
  <c r="I53" i="1"/>
  <c r="G45" i="79"/>
  <c r="K57" i="74"/>
  <c r="A57" i="74" s="1"/>
  <c r="E75" i="81"/>
  <c r="H120" i="79"/>
  <c r="E152" i="81"/>
  <c r="E134" i="81"/>
  <c r="J96" i="79"/>
  <c r="K96" i="79"/>
  <c r="C38" i="30"/>
  <c r="F38" i="30" s="1"/>
  <c r="K38" i="30" s="1"/>
  <c r="E91" i="81"/>
  <c r="H35" i="77"/>
  <c r="H47" i="77"/>
  <c r="E9" i="81"/>
  <c r="G151" i="77"/>
  <c r="H149" i="77" s="1"/>
  <c r="E181" i="81"/>
  <c r="D218" i="80"/>
  <c r="G139" i="77"/>
  <c r="E169" i="81"/>
  <c r="D200" i="80"/>
  <c r="G142" i="77"/>
  <c r="E172" i="81"/>
  <c r="D203" i="80"/>
  <c r="E153" i="81"/>
  <c r="G122" i="77"/>
  <c r="H120" i="77" s="1"/>
  <c r="E155" i="81"/>
  <c r="D178" i="80"/>
  <c r="G73" i="77"/>
  <c r="E102" i="81"/>
  <c r="D98" i="80"/>
  <c r="C59" i="30"/>
  <c r="F59" i="30" s="1"/>
  <c r="K59" i="30" s="1"/>
  <c r="E53" i="81"/>
  <c r="D48" i="80"/>
  <c r="E54" i="81"/>
  <c r="D49" i="80"/>
  <c r="K98" i="25"/>
  <c r="A98" i="25" s="1"/>
  <c r="D23" i="80"/>
  <c r="G25" i="77"/>
  <c r="E34" i="81"/>
  <c r="K78" i="28"/>
  <c r="A78" i="28" s="1"/>
  <c r="G29" i="77"/>
  <c r="E39" i="81"/>
  <c r="D28" i="80"/>
  <c r="E35" i="81"/>
  <c r="D24" i="80"/>
  <c r="K56" i="30"/>
  <c r="G15" i="1"/>
  <c r="G64" i="1" s="1"/>
  <c r="E24" i="81"/>
  <c r="D11" i="80"/>
  <c r="K34" i="30"/>
  <c r="H118" i="77"/>
  <c r="C93" i="30"/>
  <c r="F93" i="30" s="1"/>
  <c r="H144" i="77" l="1"/>
  <c r="K19" i="79"/>
  <c r="J19" i="79"/>
  <c r="K68" i="79"/>
  <c r="J68" i="79"/>
  <c r="K122" i="79"/>
  <c r="J122" i="79"/>
  <c r="J76" i="79"/>
  <c r="K76" i="79"/>
  <c r="H127" i="79"/>
  <c r="J127" i="79" s="1"/>
  <c r="J35" i="79"/>
  <c r="K35" i="79"/>
  <c r="H105" i="79"/>
  <c r="H132" i="77"/>
  <c r="H108" i="77"/>
  <c r="H92" i="79"/>
  <c r="K92" i="79" s="1"/>
  <c r="H110" i="79"/>
  <c r="J31" i="79"/>
  <c r="H90" i="77"/>
  <c r="K40" i="30"/>
  <c r="E21" i="81"/>
  <c r="D9" i="80"/>
  <c r="G15" i="79"/>
  <c r="H68" i="77"/>
  <c r="J151" i="79"/>
  <c r="H146" i="79"/>
  <c r="K146" i="79" s="1"/>
  <c r="H41" i="77"/>
  <c r="K98" i="79"/>
  <c r="J98" i="79"/>
  <c r="K24" i="79"/>
  <c r="J24" i="79"/>
  <c r="K140" i="79"/>
  <c r="J140" i="79"/>
  <c r="J92" i="79"/>
  <c r="H41" i="79"/>
  <c r="K120" i="79"/>
  <c r="J120" i="79"/>
  <c r="H24" i="77"/>
  <c r="H138" i="77"/>
  <c r="K35" i="30"/>
  <c r="K67" i="30"/>
  <c r="K93" i="30"/>
  <c r="K110" i="79" l="1"/>
  <c r="J110" i="79"/>
  <c r="J41" i="79"/>
  <c r="K41" i="79"/>
  <c r="K105" i="79"/>
  <c r="J105" i="79"/>
  <c r="K127" i="79"/>
  <c r="K41" i="30"/>
  <c r="K45" i="30" s="1"/>
  <c r="F139" i="30"/>
  <c r="D15" i="1" s="1"/>
  <c r="H15" i="1" s="1"/>
  <c r="J146" i="79"/>
  <c r="G11" i="79"/>
  <c r="G11" i="77"/>
  <c r="G10" i="79"/>
  <c r="G9" i="77"/>
  <c r="K97" i="30"/>
  <c r="E18" i="81"/>
  <c r="E12" i="81"/>
  <c r="D5" i="80"/>
  <c r="E4" i="81"/>
  <c r="D4" i="80"/>
  <c r="G10" i="77" l="1"/>
  <c r="G12" i="79"/>
  <c r="D64" i="1"/>
  <c r="D66" i="1" s="1"/>
  <c r="C23" i="1" s="1"/>
  <c r="G14" i="77"/>
  <c r="K139" i="30"/>
  <c r="A139" i="30" s="1"/>
  <c r="E2" i="81"/>
  <c r="I15" i="1"/>
  <c r="E15" i="81"/>
  <c r="G14" i="79"/>
  <c r="H8" i="79" s="1"/>
  <c r="D8" i="80"/>
  <c r="H64" i="1"/>
  <c r="I64" i="1" s="1"/>
  <c r="H7" i="77" l="1"/>
  <c r="C55" i="1"/>
  <c r="C25" i="1"/>
  <c r="C37" i="1"/>
  <c r="C49" i="1"/>
  <c r="C29" i="1"/>
  <c r="C43" i="1"/>
  <c r="C31" i="1"/>
  <c r="C45" i="1"/>
  <c r="D68" i="1"/>
  <c r="D82" i="1" s="1"/>
  <c r="O11" i="78" s="1"/>
  <c r="C47" i="1"/>
  <c r="C17" i="1"/>
  <c r="C21" i="1"/>
  <c r="C41" i="1"/>
  <c r="C35" i="1"/>
  <c r="C51" i="1"/>
  <c r="C61" i="1"/>
  <c r="C19" i="1"/>
  <c r="C27" i="1"/>
  <c r="C15" i="1"/>
  <c r="C57" i="1"/>
  <c r="C39" i="1"/>
  <c r="C33" i="1"/>
  <c r="C53" i="1"/>
  <c r="C59" i="1"/>
  <c r="J8" i="79"/>
  <c r="K8" i="79"/>
  <c r="G155" i="77" l="1"/>
  <c r="H157" i="77" s="1"/>
  <c r="D71" i="1"/>
  <c r="G157" i="79"/>
  <c r="K157" i="79" s="1"/>
  <c r="C64" i="1"/>
  <c r="E82" i="1"/>
  <c r="P11" i="78" s="1"/>
  <c r="F71" i="1"/>
  <c r="G71" i="1" s="1"/>
  <c r="D77" i="1"/>
  <c r="D84" i="1"/>
  <c r="Q11" i="78" s="1"/>
  <c r="J157" i="79" l="1"/>
  <c r="G160" i="79"/>
  <c r="D75" i="1"/>
  <c r="L11" i="78" s="1"/>
  <c r="M11" i="78" s="1"/>
  <c r="K160" i="79" l="1"/>
  <c r="K162" i="79"/>
  <c r="J160" i="79"/>
  <c r="D86" i="1"/>
  <c r="D85" i="1"/>
  <c r="F75" i="1"/>
  <c r="G75" i="1" l="1"/>
</calcChain>
</file>

<file path=xl/sharedStrings.xml><?xml version="1.0" encoding="utf-8"?>
<sst xmlns="http://schemas.openxmlformats.org/spreadsheetml/2006/main" count="6265" uniqueCount="1174">
  <si>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</si>
  <si>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</si>
  <si>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</si>
  <si>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</si>
  <si>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</si>
  <si>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</si>
  <si>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</si>
  <si>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</si>
  <si>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</si>
  <si>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</si>
  <si>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</si>
  <si>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</si>
  <si>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</si>
  <si>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</si>
  <si>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</si>
  <si>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</si>
  <si>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</si>
  <si>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</si>
  <si>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</si>
  <si>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</si>
  <si>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</si>
  <si>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</si>
  <si>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</si>
  <si>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</si>
  <si>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</si>
  <si>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</si>
  <si>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</si>
  <si>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</si>
  <si>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</si>
  <si>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</si>
  <si>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</si>
  <si>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</si>
  <si>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</si>
  <si>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</si>
  <si>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</si>
  <si>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</si>
  <si>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</si>
  <si>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</si>
  <si>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</si>
  <si>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</si>
  <si>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</si>
  <si>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</si>
  <si>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</si>
  <si>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</si>
  <si>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</si>
  <si>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</si>
  <si>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</si>
  <si>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</si>
  <si>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</si>
  <si>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</si>
  <si>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</si>
  <si>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</si>
  <si>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</si>
  <si>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</si>
  <si>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</si>
  <si>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</si>
  <si>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</si>
  <si>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</si>
  <si>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</si>
  <si>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</si>
  <si>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Wood Windows</t>
  </si>
  <si>
    <t>Hardware</t>
  </si>
  <si>
    <t>Glazing</t>
  </si>
  <si>
    <t>Wood Flooring</t>
  </si>
  <si>
    <t>Interior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</si>
  <si>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</si>
  <si>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</si>
  <si>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</si>
  <si>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</si>
  <si>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</si>
  <si>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</si>
  <si>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</si>
  <si>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</si>
  <si>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</si>
  <si>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</si>
  <si>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</si>
  <si>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</si>
  <si>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</si>
  <si>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</si>
  <si>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</si>
  <si>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</si>
  <si>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</si>
  <si>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</si>
  <si>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</si>
  <si>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</si>
  <si>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</si>
  <si>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</si>
  <si>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</si>
  <si>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</si>
  <si>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</si>
  <si>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</si>
  <si>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</si>
  <si>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</si>
  <si>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</si>
  <si>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</si>
  <si>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</si>
  <si>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</si>
  <si>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</si>
  <si>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</si>
  <si>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</si>
  <si>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</si>
  <si>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</si>
  <si>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</si>
  <si>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</si>
  <si>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</si>
  <si>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</si>
  <si>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</si>
  <si>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</si>
  <si>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</si>
  <si>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</si>
  <si>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</si>
  <si>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</si>
  <si>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</si>
  <si>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</si>
  <si>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</si>
  <si>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</si>
  <si>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</si>
  <si>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Junior Estimator</t>
  </si>
  <si>
    <t>Design Costs</t>
  </si>
  <si>
    <t>Architectural</t>
  </si>
  <si>
    <t>Civil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</si>
  <si>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</si>
  <si>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</si>
  <si>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</si>
  <si>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</si>
  <si>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</si>
  <si>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</si>
  <si>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</si>
  <si>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</si>
  <si>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</si>
  <si>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</si>
  <si>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</si>
  <si>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</si>
  <si>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</si>
  <si>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</si>
  <si>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Scaffolding / Staging</t>
  </si>
  <si>
    <t>Air/Dust Barriers</t>
  </si>
  <si>
    <t>Temp Barricades</t>
  </si>
  <si>
    <t>Temporary Fencing</t>
  </si>
  <si>
    <t xml:space="preserve">Hoarding 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</si>
  <si>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</si>
  <si>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</si>
  <si>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</si>
  <si>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</si>
  <si>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</si>
  <si>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</si>
  <si>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</si>
  <si>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</si>
  <si>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</si>
  <si>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</si>
  <si>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</si>
  <si>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</si>
  <si>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</si>
  <si>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</si>
  <si>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</si>
  <si>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</si>
  <si>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</si>
  <si>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</si>
  <si>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</si>
  <si>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</si>
  <si>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</si>
  <si>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</si>
  <si>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</si>
  <si>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</si>
  <si>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</si>
  <si>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</si>
  <si>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</si>
  <si>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</si>
  <si>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</si>
  <si>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</si>
  <si>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</si>
  <si>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</si>
  <si>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</si>
  <si>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</si>
  <si>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</si>
  <si>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</si>
  <si>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</si>
  <si>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</si>
  <si>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</si>
  <si>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</si>
  <si>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</si>
  <si>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</si>
  <si>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</si>
  <si>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</si>
  <si>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</si>
  <si>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</si>
  <si>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</si>
  <si>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</si>
  <si>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</si>
  <si>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</si>
  <si>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</si>
  <si>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</si>
  <si>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</si>
  <si>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</si>
  <si>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</si>
  <si>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</si>
  <si>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</si>
  <si>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</si>
  <si>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</si>
  <si>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</si>
  <si>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</si>
  <si>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</si>
  <si>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</si>
  <si>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</si>
  <si>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</si>
  <si>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</si>
  <si>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</si>
  <si>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</si>
  <si>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</si>
  <si>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</si>
  <si>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</si>
  <si>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</si>
  <si>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</si>
  <si>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</si>
  <si>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</si>
  <si>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</si>
  <si>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</si>
  <si>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</si>
  <si>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</si>
  <si>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</si>
  <si>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</si>
  <si>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</si>
  <si>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</si>
  <si>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</si>
  <si>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</si>
  <si>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</si>
  <si>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</si>
  <si>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</si>
  <si>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</si>
  <si>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</si>
  <si>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</si>
  <si>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</si>
  <si>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</si>
  <si>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</si>
  <si>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Ridge Vents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</si>
  <si>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</si>
  <si>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</si>
  <si>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</si>
  <si>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</si>
  <si>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</si>
  <si>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</si>
  <si>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</si>
  <si>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</si>
  <si>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</si>
  <si>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</si>
  <si>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</si>
  <si>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</si>
  <si>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</si>
  <si>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</si>
  <si>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</si>
  <si>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</si>
  <si>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</si>
  <si>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</si>
  <si>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</si>
  <si>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</si>
  <si>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</si>
  <si>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</si>
  <si>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</si>
  <si>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</si>
  <si>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</si>
  <si>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</si>
  <si>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</si>
  <si>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</si>
  <si>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Metal Windows</t>
  </si>
  <si>
    <t>Plastic Windows</t>
  </si>
  <si>
    <t>Composite Windows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</si>
  <si>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</si>
  <si>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</si>
  <si>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</si>
  <si>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</si>
  <si>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</si>
  <si>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</si>
  <si>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</si>
  <si>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</si>
  <si>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</si>
  <si>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</si>
  <si>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</si>
  <si>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</si>
  <si>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</si>
  <si>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</si>
  <si>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</si>
  <si>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</si>
  <si>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</si>
  <si>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</si>
  <si>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</si>
  <si>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</si>
  <si>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</si>
  <si>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</si>
  <si>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</si>
  <si>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</si>
  <si>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</si>
  <si>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</si>
  <si>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</si>
  <si>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</si>
  <si>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</si>
  <si>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</si>
  <si>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</si>
  <si>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</si>
  <si>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</si>
  <si>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</si>
  <si>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</si>
  <si>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</si>
  <si>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</si>
  <si>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</si>
  <si>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</si>
  <si>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</si>
  <si>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</si>
  <si>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10 22 00</t>
  </si>
  <si>
    <t>10 22 19</t>
  </si>
  <si>
    <t>10 22 39</t>
  </si>
  <si>
    <t>10 22 43</t>
  </si>
  <si>
    <t>10 28 00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</si>
  <si>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</si>
  <si>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</si>
  <si>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</si>
  <si>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</si>
  <si>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</si>
  <si>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</si>
  <si>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</si>
  <si>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</si>
  <si>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</si>
  <si>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Protective Covers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</si>
  <si>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</si>
  <si>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</si>
  <si>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</si>
  <si>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</si>
  <si>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</si>
  <si>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</si>
  <si>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</si>
  <si>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</si>
  <si>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</si>
  <si>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</si>
  <si>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</si>
  <si>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</si>
  <si>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</si>
  <si>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</si>
  <si>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</si>
  <si>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</si>
  <si>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</si>
  <si>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</si>
  <si>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</si>
  <si>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</si>
  <si>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</si>
  <si>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</si>
  <si>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</si>
  <si>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</si>
  <si>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</si>
  <si>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</si>
  <si>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</si>
  <si>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</si>
  <si>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</si>
  <si>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</si>
  <si>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</si>
  <si>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</si>
  <si>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</si>
  <si>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</si>
  <si>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</si>
  <si>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</si>
  <si>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</si>
  <si>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</si>
  <si>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</si>
  <si>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</si>
  <si>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</si>
  <si>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</si>
  <si>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</si>
  <si>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</si>
  <si>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</si>
  <si>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</si>
  <si>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</si>
  <si>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</si>
  <si>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</si>
  <si>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</si>
  <si>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</si>
  <si>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</si>
  <si>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</si>
  <si>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</si>
  <si>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</si>
  <si>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</si>
  <si>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</si>
  <si>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</si>
  <si>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</si>
  <si>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</si>
  <si>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</si>
  <si>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</si>
  <si>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</si>
  <si>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</si>
  <si>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</si>
  <si>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</si>
  <si>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</si>
  <si>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</si>
  <si>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</si>
  <si>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</si>
  <si>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</si>
  <si>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</si>
  <si>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</si>
  <si>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</si>
  <si>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</si>
  <si>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</si>
  <si>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</si>
  <si>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</si>
  <si>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</si>
  <si>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</si>
  <si>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</si>
  <si>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</si>
  <si>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</si>
  <si>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</si>
  <si>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</si>
  <si>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</si>
  <si>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</si>
  <si>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</si>
  <si>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</si>
  <si>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</si>
  <si>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</si>
  <si>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</si>
  <si>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</si>
  <si>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</si>
  <si>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</si>
  <si>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</si>
  <si>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</si>
  <si>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</si>
  <si>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</si>
  <si>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</si>
  <si>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</si>
  <si>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</si>
  <si>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</si>
  <si>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</si>
  <si>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</si>
  <si>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</si>
  <si>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</si>
  <si>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</si>
  <si>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</si>
  <si>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</si>
  <si>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</si>
  <si>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</si>
  <si>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</si>
  <si>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</si>
  <si>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</si>
  <si>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</si>
  <si>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</si>
  <si>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</si>
  <si>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</si>
  <si>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</si>
  <si>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</si>
  <si>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</si>
  <si>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</si>
  <si>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</si>
  <si>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</si>
  <si>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</si>
  <si>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</si>
  <si>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</si>
  <si>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</si>
  <si>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</si>
  <si>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</si>
  <si>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</si>
  <si>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</si>
  <si>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</si>
  <si>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</si>
  <si>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</si>
  <si>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</si>
  <si>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</si>
  <si>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</si>
  <si>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</si>
  <si>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</si>
  <si>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</si>
  <si>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</si>
  <si>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</si>
  <si>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</si>
  <si>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</si>
  <si>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</si>
  <si>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</si>
  <si>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</si>
  <si>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</si>
  <si>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</si>
  <si>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</si>
  <si>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</si>
  <si>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</si>
  <si>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</si>
  <si>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</si>
  <si>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</si>
  <si>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</si>
  <si>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</si>
  <si>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Interior Lighting</t>
  </si>
  <si>
    <t>26 52 00</t>
  </si>
  <si>
    <t>Exterior Lighting</t>
  </si>
  <si>
    <t>Safety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</si>
  <si>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</si>
  <si>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</si>
  <si>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</si>
  <si>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</si>
  <si>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</si>
  <si>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</si>
  <si>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</si>
  <si>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</si>
  <si>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</si>
  <si>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</si>
  <si>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</si>
  <si>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</si>
  <si>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</si>
  <si>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</si>
  <si>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</si>
  <si>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</si>
  <si>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</si>
  <si>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</si>
  <si>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</si>
  <si>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</si>
  <si>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</si>
  <si>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</si>
  <si>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</si>
  <si>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</si>
  <si>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</si>
  <si>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</si>
  <si>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</si>
  <si>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</si>
  <si>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</si>
  <si>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</si>
  <si>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</si>
  <si>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</si>
  <si>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</si>
  <si>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</si>
  <si>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</si>
  <si>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</si>
  <si>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</si>
  <si>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</si>
  <si>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</si>
  <si>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</si>
  <si>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Grading</t>
  </si>
  <si>
    <t>Rough Grading</t>
  </si>
  <si>
    <t>Fine Grading</t>
  </si>
  <si>
    <t>31 22 13</t>
  </si>
  <si>
    <t>31 22 16</t>
  </si>
  <si>
    <t>31 23 00</t>
  </si>
  <si>
    <t>Excavation and Fill</t>
  </si>
  <si>
    <t>31 23 13</t>
  </si>
  <si>
    <t>Subgrade Preparation</t>
  </si>
  <si>
    <t>Trenching</t>
  </si>
  <si>
    <t>Structural Excavation for Minor Structures</t>
  </si>
  <si>
    <t xml:space="preserve">Rock Removal </t>
  </si>
  <si>
    <t>Dewatering</t>
  </si>
  <si>
    <t>Fill</t>
  </si>
  <si>
    <t>Backfill</t>
  </si>
  <si>
    <t>Compaction</t>
  </si>
  <si>
    <t>Flowable 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</si>
  <si>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</si>
  <si>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</si>
  <si>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</si>
  <si>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</si>
  <si>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</si>
  <si>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</si>
  <si>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</si>
  <si>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</si>
  <si>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</si>
  <si>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</si>
  <si>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</si>
  <si>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</si>
  <si>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</si>
  <si>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</si>
  <si>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</si>
  <si>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</si>
  <si>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</si>
  <si>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</si>
  <si>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</si>
  <si>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</si>
  <si>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</si>
  <si>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</si>
  <si>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</si>
  <si>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</si>
  <si>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</si>
  <si>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</si>
  <si>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</si>
  <si>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</si>
  <si>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</si>
  <si>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</si>
  <si>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</si>
  <si>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</si>
  <si>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</si>
  <si>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</si>
  <si>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</si>
  <si>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</si>
  <si>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</si>
  <si>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</si>
  <si>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</si>
  <si>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</si>
  <si>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</si>
  <si>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</si>
  <si>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</si>
  <si>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</si>
  <si>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</si>
  <si>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</si>
  <si>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</si>
  <si>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</si>
  <si>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</si>
  <si>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</si>
  <si>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</si>
  <si>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</si>
  <si>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</si>
  <si>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</si>
  <si>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</si>
  <si>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</si>
  <si>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</si>
  <si>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</si>
  <si>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</si>
  <si>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</si>
  <si>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</si>
  <si>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</si>
  <si>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</si>
  <si>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</si>
  <si>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</si>
  <si>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</si>
  <si>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</si>
  <si>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</si>
  <si>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</si>
  <si>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</si>
  <si>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</si>
  <si>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</si>
  <si>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</si>
  <si>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</si>
  <si>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</si>
  <si>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</si>
  <si>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</si>
  <si>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</si>
  <si>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</si>
  <si>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</si>
  <si>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</si>
  <si>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</si>
  <si>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</si>
  <si>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</si>
  <si>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</si>
  <si>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</si>
  <si>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</si>
  <si>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</si>
  <si>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</si>
  <si>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</si>
  <si>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</si>
  <si>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</si>
  <si>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</si>
  <si>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</si>
  <si>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</si>
  <si>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</si>
  <si>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</si>
  <si>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</si>
  <si>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</si>
  <si>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</si>
  <si>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</si>
  <si>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</si>
  <si>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</si>
  <si>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</si>
  <si>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</si>
  <si>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</si>
  <si>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</si>
  <si>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</si>
  <si>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</si>
  <si>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</si>
  <si>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</si>
  <si>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</si>
  <si>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</si>
  <si>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</si>
  <si>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</si>
  <si>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</si>
  <si>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</si>
  <si>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</si>
  <si>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</si>
  <si>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</si>
  <si>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</si>
  <si>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</si>
  <si>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</si>
  <si>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</si>
  <si>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</si>
  <si>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</si>
  <si>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</si>
  <si>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</si>
  <si>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</si>
  <si>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</si>
  <si>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</si>
  <si>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</si>
  <si>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</si>
  <si>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</si>
  <si>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</si>
  <si>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 xml:space="preserve">Commercial Water Closets, Urinals, and Bidets </t>
  </si>
  <si>
    <t>Facility Fuel piping</t>
  </si>
  <si>
    <t>23 11 00</t>
  </si>
  <si>
    <t>26 09 13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</si>
  <si>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</si>
  <si>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</si>
  <si>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</si>
  <si>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</si>
  <si>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</si>
  <si>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</si>
  <si>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</si>
  <si>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</si>
  <si>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</si>
  <si>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</si>
  <si>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</si>
  <si>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</si>
  <si>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</si>
  <si>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</si>
  <si>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</si>
  <si>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</si>
  <si>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</si>
  <si>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</si>
  <si>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</si>
  <si>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</si>
  <si>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</si>
  <si>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</si>
  <si>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</si>
  <si>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</si>
  <si>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</si>
  <si>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</si>
  <si>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</si>
  <si>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</si>
  <si>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</si>
  <si>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</si>
  <si>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</si>
  <si>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</si>
  <si>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</si>
  <si>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</si>
  <si>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</si>
  <si>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</si>
  <si>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</si>
  <si>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</si>
  <si>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</si>
  <si>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</si>
  <si>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</si>
  <si>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</si>
  <si>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</si>
  <si>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</si>
  <si>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</si>
  <si>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</si>
  <si>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</si>
  <si>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</si>
  <si>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</si>
  <si>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</si>
  <si>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</si>
  <si>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</si>
  <si>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</si>
  <si>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</si>
  <si>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</si>
  <si>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</si>
  <si>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</si>
  <si>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</si>
  <si>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</si>
  <si>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</si>
  <si>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</si>
  <si>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</si>
  <si>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</si>
  <si>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</si>
  <si>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</si>
  <si>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</si>
  <si>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</si>
  <si>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</si>
  <si>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</si>
  <si>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</si>
  <si>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</si>
  <si>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</si>
  <si>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sf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</si>
  <si>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</si>
  <si>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</si>
  <si>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</si>
  <si>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</si>
  <si>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</si>
  <si>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</si>
  <si>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</si>
  <si>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</si>
  <si>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</si>
  <si>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</si>
  <si>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</si>
  <si>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</si>
  <si>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</si>
  <si>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</si>
  <si>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</si>
  <si>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</si>
  <si>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</si>
  <si>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</si>
  <si>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</si>
  <si>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</si>
  <si>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</si>
  <si>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</si>
  <si>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</si>
  <si>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</si>
  <si>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</si>
  <si>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</si>
  <si>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Sub Contractor</t>
  </si>
  <si>
    <t>Quote Total</t>
  </si>
  <si>
    <t>Additional Quote Info</t>
  </si>
  <si>
    <t>Volume m3</t>
  </si>
  <si>
    <t>Footings</t>
  </si>
  <si>
    <t>A</t>
  </si>
  <si>
    <t>B</t>
  </si>
  <si>
    <t>Strip Footing</t>
  </si>
  <si>
    <t>Walls</t>
  </si>
  <si>
    <t>Piers</t>
  </si>
  <si>
    <t>Slab - ground floor</t>
  </si>
  <si>
    <t>Slab - 2nd floor</t>
  </si>
  <si>
    <t>Total Volume - Slab</t>
  </si>
  <si>
    <t>Total Volume - Footing</t>
  </si>
  <si>
    <t>Total Volume - Walls</t>
  </si>
  <si>
    <t>Pump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</si>
  <si>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</si>
  <si>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</si>
  <si>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</si>
  <si>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</si>
  <si>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</si>
  <si>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</si>
  <si>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</si>
  <si>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</si>
  <si>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</si>
  <si>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</si>
  <si>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</si>
  <si>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</si>
  <si>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</si>
  <si>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</si>
  <si>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</si>
  <si>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</si>
  <si>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</si>
  <si>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</si>
  <si>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</si>
  <si>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</si>
  <si>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</si>
  <si>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</si>
  <si>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</si>
  <si>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</si>
  <si>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Slab Volume</t>
  </si>
  <si>
    <t>Footing Volume</t>
  </si>
  <si>
    <t>Foundation Wall Volume</t>
  </si>
  <si>
    <t>Width</t>
  </si>
  <si>
    <t>D</t>
  </si>
  <si>
    <t>Type</t>
  </si>
  <si>
    <t>Height</t>
  </si>
  <si>
    <t>Thickness (ft)</t>
  </si>
  <si>
    <t>Area (SF)</t>
  </si>
  <si>
    <t>Length (FT)</t>
  </si>
  <si>
    <t>Width (ft)</t>
  </si>
  <si>
    <t>Height (ft)</t>
  </si>
  <si>
    <t>Total Volume - Exterior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</si>
  <si>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</si>
  <si>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</si>
  <si>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</si>
  <si>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</si>
  <si>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</si>
  <si>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</si>
  <si>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</si>
  <si>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</si>
  <si>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</si>
  <si>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</si>
  <si>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</si>
  <si>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</si>
  <si>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</si>
  <si>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</si>
  <si>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</si>
  <si>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</si>
  <si>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</si>
  <si>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</si>
  <si>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</si>
  <si>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</si>
  <si>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</si>
  <si>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</si>
  <si>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</si>
  <si>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</si>
  <si>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</si>
  <si>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</si>
  <si>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</si>
  <si>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</si>
  <si>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</si>
  <si>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</si>
  <si>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</si>
  <si>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</si>
  <si>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</si>
  <si>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</si>
  <si>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</si>
  <si>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</si>
  <si>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</si>
  <si>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</si>
  <si>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</si>
  <si>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</si>
  <si>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</si>
  <si>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</si>
  <si>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Slab Finishing - Ground Floor</t>
  </si>
  <si>
    <t>Slab Finishing - 2nd Floor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</si>
  <si>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</si>
  <si>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</si>
  <si>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</si>
  <si>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</si>
  <si>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</si>
  <si>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</si>
  <si>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</si>
  <si>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</si>
  <si>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</si>
  <si>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</si>
  <si>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</si>
  <si>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</si>
  <si>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</si>
  <si>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</si>
  <si>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Concrete Volume</t>
  </si>
  <si>
    <t>Exterior Pads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</si>
  <si>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</si>
  <si>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</si>
  <si>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</si>
  <si>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</si>
  <si>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</si>
  <si>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</si>
  <si>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</si>
  <si>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</si>
  <si>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</si>
  <si>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</si>
  <si>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</si>
  <si>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2x6 Stud</t>
  </si>
  <si>
    <t>2x10</t>
  </si>
  <si>
    <t xml:space="preserve">1x3 </t>
  </si>
  <si>
    <t>1x4</t>
  </si>
  <si>
    <t>PLYWOOD</t>
  </si>
  <si>
    <t>1/2" Standard</t>
  </si>
  <si>
    <t>EA</t>
  </si>
  <si>
    <t>5/8" Standard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</si>
  <si>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</si>
  <si>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</si>
  <si>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</si>
  <si>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</si>
  <si>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</si>
  <si>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</si>
  <si>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</si>
  <si>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</si>
  <si>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</si>
  <si>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</si>
  <si>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</si>
  <si>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</si>
  <si>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</si>
  <si>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</si>
  <si>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</si>
  <si>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</si>
  <si>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</si>
  <si>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</si>
  <si>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</si>
  <si>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</si>
  <si>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</si>
  <si>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</si>
  <si>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</si>
  <si>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</si>
  <si>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</si>
  <si>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</si>
  <si>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</si>
  <si>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</si>
  <si>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</si>
  <si>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</si>
  <si>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</si>
  <si>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</si>
  <si>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</si>
  <si>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</si>
  <si>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</si>
  <si>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</si>
  <si>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</si>
  <si>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</si>
  <si>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</si>
  <si>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</si>
  <si>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</si>
  <si>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</si>
  <si>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</si>
  <si>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</si>
  <si>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</si>
  <si>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</si>
  <si>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</si>
  <si>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</si>
  <si>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Construction Aids &amp; Winter Conditions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</si>
  <si>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</si>
  <si>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</si>
  <si>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</si>
  <si>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</si>
  <si>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</si>
  <si>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</si>
  <si>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</si>
  <si>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</si>
  <si>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</si>
  <si>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</si>
  <si>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</si>
  <si>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</si>
  <si>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</si>
  <si>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</si>
  <si>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</si>
  <si>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</si>
  <si>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</si>
  <si>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</si>
  <si>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</si>
  <si>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</si>
  <si>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</si>
  <si>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</si>
  <si>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</si>
  <si>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</si>
  <si>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Dr. Goel Dental Office</t>
  </si>
  <si>
    <t xml:space="preserve">Dr. Goel  </t>
  </si>
  <si>
    <t>MCW</t>
  </si>
  <si>
    <t>75.6$/SF</t>
  </si>
  <si>
    <t>0$/SF</t>
  </si>
  <si>
    <t>21.7$/SF</t>
  </si>
  <si>
    <t>9.5$/SF</t>
  </si>
  <si>
    <t>40$/SF</t>
  </si>
  <si>
    <t>29.1$/SF</t>
  </si>
  <si>
    <t>22.4$/SF</t>
  </si>
  <si>
    <t>42.2$/SF</t>
  </si>
  <si>
    <t>2.3$/SF</t>
  </si>
  <si>
    <t>0.8$/SF</t>
  </si>
  <si>
    <t>33.3$/SF</t>
  </si>
  <si>
    <t>43.7$/SF</t>
  </si>
  <si>
    <t>64.9$/SF</t>
  </si>
  <si>
    <t>102.9$/SF</t>
  </si>
  <si>
    <t>59.3$/SF</t>
  </si>
  <si>
    <t>546.9$/SF</t>
  </si>
  <si>
    <t>Sackville Smiles</t>
  </si>
  <si>
    <t>2700sf</t>
  </si>
  <si>
    <t>22.8$/SF</t>
  </si>
  <si>
    <t>25.9$/SF</t>
  </si>
  <si>
    <t>25.3$/SF</t>
  </si>
  <si>
    <t>41.2$/SF</t>
  </si>
  <si>
    <t>48.1$/SF</t>
  </si>
  <si>
    <t>22.2$/SF</t>
  </si>
  <si>
    <t>58.2$/SF</t>
  </si>
  <si>
    <t>0.9$/SF</t>
  </si>
  <si>
    <t>6.3$/SF</t>
  </si>
  <si>
    <t>27.3$/SF</t>
  </si>
  <si>
    <t>30.9$/SF</t>
  </si>
  <si>
    <t>34.6$/SF</t>
  </si>
  <si>
    <t>49.6$/SF</t>
  </si>
  <si>
    <t>16.2$/SF</t>
  </si>
  <si>
    <t>408.7$/SF</t>
  </si>
  <si>
    <t>Prisma Dental</t>
  </si>
  <si>
    <t>OH&amp;P</t>
  </si>
  <si>
    <t>8415sf</t>
  </si>
  <si>
    <t>Closet door</t>
  </si>
  <si>
    <t>Interior Drywall</t>
  </si>
  <si>
    <t>LF</t>
  </si>
  <si>
    <t>Washroom tile</t>
  </si>
  <si>
    <t>Demising Wall - 1hr - 1 layer of gypsum board over existing wall</t>
  </si>
  <si>
    <t>Sackville smiles</t>
  </si>
  <si>
    <t>Acoustic ceiling</t>
  </si>
  <si>
    <t>3 Washrooms</t>
  </si>
  <si>
    <t>Unit price-3 ft wide</t>
  </si>
  <si>
    <t>Sprinkler Readjustment</t>
  </si>
  <si>
    <t>per sf</t>
  </si>
  <si>
    <t>Per fixtures</t>
  </si>
  <si>
    <t>Fx</t>
  </si>
  <si>
    <t>Plumbing, compressed air, vaccum</t>
  </si>
  <si>
    <t>Mountain view Dental</t>
  </si>
  <si>
    <t>53.3$/SF</t>
  </si>
  <si>
    <t>8.7$/SF</t>
  </si>
  <si>
    <t>0.6$/SF</t>
  </si>
  <si>
    <t>10.4$/SF</t>
  </si>
  <si>
    <t>57.5$/SF</t>
  </si>
  <si>
    <t>6.6$/SF</t>
  </si>
  <si>
    <t>43.4$/SF</t>
  </si>
  <si>
    <t>0.7$/SF</t>
  </si>
  <si>
    <t>2.8$/SF</t>
  </si>
  <si>
    <t>16.1$/SF</t>
  </si>
  <si>
    <t>14.7$/SF</t>
  </si>
  <si>
    <t>37.6$/SF</t>
  </si>
  <si>
    <t>4.9$/SF</t>
  </si>
  <si>
    <t>256.7$/SF</t>
  </si>
  <si>
    <t>Mountain View Dental</t>
  </si>
  <si>
    <t>2052sf</t>
  </si>
  <si>
    <t>HVAC Installation</t>
  </si>
  <si>
    <t xml:space="preserve">Electrical distribution and lighting </t>
  </si>
  <si>
    <t>Core Drilling</t>
  </si>
  <si>
    <t>X Ray Allowance</t>
  </si>
  <si>
    <t>Mountain View</t>
  </si>
  <si>
    <t>Giffin</t>
  </si>
  <si>
    <t>KUB</t>
  </si>
  <si>
    <t>Epoxy, stair thread and VCT</t>
  </si>
  <si>
    <t>Tusk dental</t>
  </si>
  <si>
    <t>1300sf</t>
  </si>
  <si>
    <t>585 Mapleton Drive</t>
  </si>
  <si>
    <t>Plumbing Piping &amp; Equipment</t>
  </si>
  <si>
    <t>HVAC Equipment &amp; Air Distribution</t>
  </si>
  <si>
    <t>Distribution, Lighting, Fire Alarm</t>
  </si>
  <si>
    <t>Reception Desk</t>
  </si>
  <si>
    <t>Hygene Rooms</t>
  </si>
  <si>
    <t>Staff Room</t>
  </si>
  <si>
    <t>Lab &amp; Storage</t>
  </si>
  <si>
    <t>Workstations</t>
  </si>
  <si>
    <t>Sterilization</t>
  </si>
  <si>
    <t>Contingency</t>
  </si>
  <si>
    <t>Preconstruction Costs - Design</t>
  </si>
  <si>
    <t>AL's Electric</t>
  </si>
  <si>
    <t>Amplify</t>
  </si>
  <si>
    <t>Melco</t>
  </si>
  <si>
    <t>Power</t>
  </si>
  <si>
    <t>Forward Electric</t>
  </si>
  <si>
    <t>BSM</t>
  </si>
  <si>
    <t>ConAir</t>
  </si>
  <si>
    <t>ECR</t>
  </si>
  <si>
    <t>Sica</t>
  </si>
  <si>
    <t>Ermen</t>
  </si>
  <si>
    <t>Franco</t>
  </si>
  <si>
    <t>George's</t>
  </si>
  <si>
    <t>Moncton Plumbing</t>
  </si>
  <si>
    <t>Premiere</t>
  </si>
  <si>
    <t>B&amp;G</t>
  </si>
  <si>
    <t>Mutch Fire</t>
  </si>
  <si>
    <t>Viking</t>
  </si>
  <si>
    <t>Vipond</t>
  </si>
  <si>
    <t>Div 10</t>
  </si>
  <si>
    <t>Rodney</t>
  </si>
  <si>
    <t>LJD Paintworks</t>
  </si>
  <si>
    <t>PaintGenix</t>
  </si>
  <si>
    <t>Coastal</t>
  </si>
  <si>
    <t>Ritchie's</t>
  </si>
  <si>
    <t>Fundy</t>
  </si>
  <si>
    <t>premium</t>
  </si>
  <si>
    <t>FCG</t>
  </si>
  <si>
    <t>Advantage</t>
  </si>
  <si>
    <t>DCP</t>
  </si>
  <si>
    <t>Foxwoods</t>
  </si>
  <si>
    <t>Lux KBS</t>
  </si>
  <si>
    <t>Procase</t>
  </si>
  <si>
    <t>Branco</t>
  </si>
  <si>
    <t>Inflector</t>
  </si>
  <si>
    <t>Lakeview</t>
  </si>
  <si>
    <t>Frosted Film</t>
  </si>
  <si>
    <t>Coats</t>
  </si>
  <si>
    <t>Hollow Metal Frames and Solid Core Wood Pocket Door</t>
  </si>
  <si>
    <t>Hollow Metal Frames and Solid Core Wood slide Door</t>
  </si>
  <si>
    <t>Hollow Metal Frames and Solid Core Wood Door Swing</t>
  </si>
  <si>
    <t>OP Rooms</t>
  </si>
  <si>
    <t>Washrooms</t>
  </si>
  <si>
    <t>Imaging</t>
  </si>
  <si>
    <t>Arsenault</t>
  </si>
  <si>
    <t>All walls to underside of deck</t>
  </si>
  <si>
    <t>Additional 18 holes</t>
  </si>
  <si>
    <t>per hole</t>
  </si>
  <si>
    <t>Includes plywood for millwork and washroom accessories</t>
  </si>
  <si>
    <t>Premium</t>
  </si>
  <si>
    <t>Paper tower dispenser</t>
  </si>
  <si>
    <t>Soap dispenser</t>
  </si>
  <si>
    <t>Mirror</t>
  </si>
  <si>
    <t>Grab bar</t>
  </si>
  <si>
    <t>Coat Hooks</t>
  </si>
  <si>
    <t>Toilet tissue dispenser</t>
  </si>
  <si>
    <t>Baby change table</t>
  </si>
  <si>
    <t>Credit for walls to be 10'</t>
  </si>
  <si>
    <t>No Coat Hooks, Paper holder and change table</t>
  </si>
  <si>
    <t>Enviro</t>
  </si>
  <si>
    <t>Coastal/Primo</t>
  </si>
  <si>
    <t>Floor Prep</t>
  </si>
  <si>
    <t>Duct leakage Test</t>
  </si>
  <si>
    <t>Economy</t>
  </si>
  <si>
    <t>Film</t>
  </si>
  <si>
    <t>Deploy</t>
  </si>
  <si>
    <t>Paint2Perfection</t>
  </si>
  <si>
    <t>They have done couple of maintenance in the building</t>
  </si>
  <si>
    <t>Night work NIC</t>
  </si>
  <si>
    <t>Domus</t>
  </si>
  <si>
    <t>Contingency 10%</t>
  </si>
  <si>
    <t>Plumbing Piping and Fixtures</t>
  </si>
  <si>
    <t>Electrical Distribution and Lighting</t>
  </si>
  <si>
    <t>FRS</t>
  </si>
  <si>
    <t>Stainless steel counter included</t>
  </si>
  <si>
    <t>Excludes backbone data cabling, security</t>
  </si>
  <si>
    <t>All Laminates</t>
  </si>
  <si>
    <t>Alternate spec</t>
  </si>
  <si>
    <t>Revised</t>
  </si>
  <si>
    <t>Fasteners and consumables</t>
  </si>
  <si>
    <t>Backing NIC</t>
  </si>
  <si>
    <t>Backing included, except for walls not indicated on drawing</t>
  </si>
  <si>
    <t>Option price for all walls to underside of deck</t>
  </si>
  <si>
    <t>Option Price for walls to underside of Deck. NIC in overall Price</t>
  </si>
  <si>
    <t>2x4 Stud (utility room stacked equipment)</t>
  </si>
  <si>
    <t>4x4 (utility room stacked equipment)</t>
  </si>
  <si>
    <t>To send quote this week</t>
  </si>
  <si>
    <t xml:space="preserve">1st Flr  Painting </t>
  </si>
  <si>
    <t>Demolition and Core Drilling</t>
  </si>
  <si>
    <t>Plaster and Gypsum Board and Ceilings</t>
  </si>
  <si>
    <t>Excludes backbone data cabling, typically done by Rogers or Bell.</t>
  </si>
  <si>
    <t>Cost saving option. Downsized the fuse from 200 to 125A.</t>
  </si>
  <si>
    <t>Permit</t>
  </si>
  <si>
    <t>Wood Labour</t>
  </si>
  <si>
    <t>Wood materials</t>
  </si>
  <si>
    <t>Glazing and Frosted Film</t>
  </si>
  <si>
    <t>Duct demo has been removed</t>
  </si>
  <si>
    <t>Extra for wall to underside of deck - Office, Staff lounge and equipment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</si>
</sst>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</numFmts>
  <fonts count="55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17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143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19" xfId="0" applyFont="1" applyFill="1" applyBorder="1" applyAlignment="1">
      <alignment horizontal="left"/>
    </xf>
    <xf numFmtId="164" fontId="12" fillId="4" borderId="119" xfId="2" applyFont="1" applyFill="1" applyBorder="1" applyAlignment="1">
      <alignment horizontal="right"/>
    </xf>
    <xf numFmtId="164" fontId="13" fillId="4" borderId="119" xfId="2" applyFont="1" applyFill="1" applyBorder="1"/>
    <xf numFmtId="0" fontId="15" fillId="4" borderId="126" xfId="0" applyFont="1" applyFill="1" applyBorder="1" applyAlignment="1">
      <alignment horizontal="center"/>
    </xf>
    <xf numFmtId="164" fontId="13" fillId="4" borderId="127" xfId="2" applyFont="1" applyFill="1" applyBorder="1"/>
    <xf numFmtId="0" fontId="15" fillId="5" borderId="128" xfId="0" applyFont="1" applyFill="1" applyBorder="1" applyAlignment="1">
      <alignment horizontal="center"/>
    </xf>
    <xf numFmtId="164" fontId="13" fillId="5" borderId="129" xfId="2" applyFont="1" applyFill="1" applyBorder="1"/>
    <xf numFmtId="164" fontId="0" fillId="0" borderId="0" xfId="2" applyFont="1" applyBorder="1"/>
    <xf numFmtId="0" fontId="0" fillId="0" borderId="129" xfId="0" applyBorder="1"/>
    <xf numFmtId="0" fontId="0" fillId="4" borderId="143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8" xfId="0" applyNumberFormat="1" applyFont="1" applyBorder="1"/>
    <xf numFmtId="164" fontId="24" fillId="0" borderId="138" xfId="2" applyFont="1" applyBorder="1"/>
    <xf numFmtId="0" fontId="24" fillId="0" borderId="138" xfId="0" applyFont="1" applyBorder="1"/>
    <xf numFmtId="0" fontId="24" fillId="0" borderId="139" xfId="0" applyFont="1" applyBorder="1"/>
    <xf numFmtId="0" fontId="25" fillId="5" borderId="128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7" xfId="0" applyFont="1" applyBorder="1"/>
    <xf numFmtId="0" fontId="25" fillId="5" borderId="132" xfId="0" applyFont="1" applyFill="1" applyBorder="1" applyAlignment="1">
      <alignment horizontal="center"/>
    </xf>
    <xf numFmtId="0" fontId="25" fillId="5" borderId="133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6" xfId="0" applyFont="1" applyFill="1" applyBorder="1"/>
    <xf numFmtId="0" fontId="16" fillId="6" borderId="130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4" xfId="2" applyNumberFormat="1" applyFont="1" applyFill="1" applyBorder="1" applyAlignment="1">
      <alignment horizontal="left" vertical="center"/>
    </xf>
    <xf numFmtId="164" fontId="26" fillId="6" borderId="122" xfId="2" applyFont="1" applyFill="1" applyBorder="1" applyAlignment="1">
      <alignment horizontal="right" vertical="center"/>
    </xf>
    <xf numFmtId="171" fontId="26" fillId="6" borderId="123" xfId="2" applyNumberFormat="1" applyFont="1" applyFill="1" applyBorder="1" applyAlignment="1">
      <alignment horizontal="left" vertical="center"/>
    </xf>
    <xf numFmtId="0" fontId="27" fillId="0" borderId="134" xfId="0" applyFont="1" applyBorder="1" applyAlignment="1">
      <alignment horizontal="center" vertical="center"/>
    </xf>
    <xf numFmtId="0" fontId="27" fillId="0" borderId="135" xfId="0" applyFont="1" applyBorder="1" applyAlignment="1">
      <alignment horizontal="left" vertical="center"/>
    </xf>
    <xf numFmtId="0" fontId="24" fillId="0" borderId="135" xfId="0" applyFont="1" applyBorder="1" applyAlignment="1">
      <alignment vertical="center"/>
    </xf>
    <xf numFmtId="164" fontId="24" fillId="0" borderId="135" xfId="2" applyFont="1" applyBorder="1" applyAlignment="1">
      <alignment vertical="center"/>
    </xf>
    <xf numFmtId="164" fontId="27" fillId="0" borderId="135" xfId="2" applyFont="1" applyBorder="1" applyAlignment="1">
      <alignment horizontal="right" vertical="center"/>
    </xf>
    <xf numFmtId="164" fontId="27" fillId="0" borderId="136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5" xfId="0" applyNumberFormat="1" applyFont="1" applyBorder="1" applyAlignment="1">
      <alignment vertical="center"/>
    </xf>
    <xf numFmtId="0" fontId="24" fillId="0" borderId="136" xfId="0" applyFont="1" applyBorder="1" applyAlignment="1">
      <alignment vertical="center"/>
    </xf>
    <xf numFmtId="0" fontId="27" fillId="0" borderId="140" xfId="0" applyFont="1" applyBorder="1" applyAlignment="1">
      <alignment horizontal="center" vertical="center"/>
    </xf>
    <xf numFmtId="0" fontId="27" fillId="0" borderId="141" xfId="0" applyFont="1" applyBorder="1" applyAlignment="1">
      <alignment horizontal="left" vertical="center"/>
    </xf>
    <xf numFmtId="164" fontId="24" fillId="0" borderId="141" xfId="2" applyFont="1" applyBorder="1" applyAlignment="1">
      <alignment vertical="center"/>
    </xf>
    <xf numFmtId="164" fontId="24" fillId="0" borderId="141" xfId="0" applyNumberFormat="1" applyFont="1" applyBorder="1" applyAlignment="1">
      <alignment vertical="center"/>
    </xf>
    <xf numFmtId="0" fontId="24" fillId="0" borderId="141" xfId="0" applyFont="1" applyBorder="1" applyAlignment="1">
      <alignment vertical="center"/>
    </xf>
    <xf numFmtId="164" fontId="27" fillId="0" borderId="141" xfId="2" applyFont="1" applyBorder="1" applyAlignment="1">
      <alignment horizontal="right" vertical="center"/>
    </xf>
    <xf numFmtId="164" fontId="27" fillId="0" borderId="142" xfId="0" applyNumberFormat="1" applyFont="1" applyBorder="1" applyAlignment="1">
      <alignment vertical="center"/>
    </xf>
    <xf numFmtId="0" fontId="24" fillId="0" borderId="128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137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164" fontId="24" fillId="0" borderId="138" xfId="2" applyFont="1" applyBorder="1" applyAlignment="1">
      <alignment vertical="center"/>
    </xf>
    <xf numFmtId="164" fontId="24" fillId="0" borderId="138" xfId="0" applyNumberFormat="1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29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29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8" xfId="0" applyFont="1" applyBorder="1" applyAlignment="1">
      <alignment horizontal="left" vertical="center"/>
    </xf>
    <xf numFmtId="0" fontId="24" fillId="0" borderId="128" xfId="0" applyFont="1" applyBorder="1" applyAlignment="1">
      <alignment horizontal="center" vertical="center"/>
    </xf>
    <xf numFmtId="0" fontId="24" fillId="0" borderId="137" xfId="0" applyFont="1" applyBorder="1" applyAlignment="1">
      <alignment horizontal="center" vertical="center"/>
    </xf>
    <xf numFmtId="164" fontId="24" fillId="0" borderId="138" xfId="2" applyFont="1" applyFill="1" applyBorder="1" applyAlignment="1">
      <alignment vertical="center"/>
    </xf>
    <xf numFmtId="49" fontId="26" fillId="0" borderId="128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8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7" xfId="0" applyNumberFormat="1" applyFont="1" applyBorder="1" applyAlignment="1">
      <alignment horizontal="center" vertical="center"/>
    </xf>
    <xf numFmtId="49" fontId="25" fillId="0" borderId="13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1" xfId="0" applyFont="1" applyFill="1" applyBorder="1"/>
    <xf numFmtId="0" fontId="0" fillId="13" borderId="162" xfId="0" applyFill="1" applyBorder="1"/>
    <xf numFmtId="0" fontId="0" fillId="0" borderId="162" xfId="0" applyBorder="1"/>
    <xf numFmtId="0" fontId="0" fillId="13" borderId="163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3" xfId="0" applyFont="1" applyFill="1" applyBorder="1" applyAlignment="1">
      <alignment horizontal="center"/>
    </xf>
    <xf numFmtId="0" fontId="2" fillId="6" borderId="154" xfId="0" applyFont="1" applyFill="1" applyBorder="1" applyAlignment="1">
      <alignment horizontal="left"/>
    </xf>
    <xf numFmtId="0" fontId="1" fillId="6" borderId="154" xfId="0" applyFont="1" applyFill="1" applyBorder="1"/>
    <xf numFmtId="0" fontId="15" fillId="6" borderId="154" xfId="2" applyNumberFormat="1" applyFont="1" applyFill="1" applyBorder="1" applyAlignment="1"/>
    <xf numFmtId="164" fontId="15" fillId="6" borderId="155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7" xfId="2" applyFont="1" applyFill="1" applyBorder="1" applyAlignment="1">
      <alignment horizontal="right"/>
    </xf>
    <xf numFmtId="171" fontId="19" fillId="6" borderId="123" xfId="2" applyNumberFormat="1" applyFont="1" applyFill="1" applyBorder="1" applyAlignment="1">
      <alignment horizontal="left"/>
    </xf>
    <xf numFmtId="171" fontId="19" fillId="6" borderId="124" xfId="2" applyNumberFormat="1" applyFont="1" applyFill="1" applyBorder="1" applyAlignment="1">
      <alignment horizontal="left"/>
    </xf>
    <xf numFmtId="0" fontId="15" fillId="10" borderId="159" xfId="0" applyFont="1" applyFill="1" applyBorder="1" applyAlignment="1">
      <alignment horizontal="center"/>
    </xf>
    <xf numFmtId="0" fontId="15" fillId="10" borderId="119" xfId="0" applyFont="1" applyFill="1" applyBorder="1" applyAlignment="1">
      <alignment horizontal="left"/>
    </xf>
    <xf numFmtId="164" fontId="12" fillId="10" borderId="119" xfId="2" applyFont="1" applyFill="1" applyBorder="1" applyAlignment="1">
      <alignment horizontal="right"/>
    </xf>
    <xf numFmtId="164" fontId="13" fillId="10" borderId="119" xfId="2" applyFont="1" applyFill="1" applyBorder="1" applyAlignment="1"/>
    <xf numFmtId="164" fontId="13" fillId="10" borderId="160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0" xfId="0" applyFont="1" applyFill="1" applyBorder="1" applyAlignment="1">
      <alignment horizontal="center"/>
    </xf>
    <xf numFmtId="0" fontId="1" fillId="11" borderId="151" xfId="0" applyFont="1" applyFill="1" applyBorder="1" applyAlignment="1">
      <alignment horizontal="left"/>
    </xf>
    <xf numFmtId="0" fontId="1" fillId="11" borderId="151" xfId="0" applyFont="1" applyFill="1" applyBorder="1"/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9" xfId="0" applyFont="1" applyBorder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5" borderId="0" xfId="0" applyFont="1" applyFill="1"/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52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8" xfId="0" applyFont="1" applyBorder="1" applyAlignment="1">
      <alignment horizontal="center"/>
    </xf>
    <xf numFmtId="0" fontId="14" fillId="6" borderId="116" xfId="0" applyFont="1" applyFill="1" applyBorder="1" applyAlignment="1">
      <alignment horizontal="right"/>
    </xf>
    <xf numFmtId="171" fontId="14" fillId="6" borderId="46" xfId="0" applyNumberFormat="1" applyFont="1" applyFill="1" applyBorder="1" applyAlignment="1">
      <alignment horizontal="center"/>
    </xf>
    <xf numFmtId="164" fontId="31" fillId="0" borderId="46" xfId="2" applyFont="1" applyBorder="1" applyAlignment="1">
      <alignment horizontal="right"/>
    </xf>
    <xf numFmtId="164" fontId="31" fillId="0" borderId="146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4" xfId="0" applyFont="1" applyFill="1" applyBorder="1" applyAlignment="1">
      <alignment horizontal="right"/>
    </xf>
    <xf numFmtId="0" fontId="36" fillId="6" borderId="146" xfId="0" applyFont="1" applyFill="1" applyBorder="1" applyAlignment="1">
      <alignment horizontal="center"/>
    </xf>
    <xf numFmtId="0" fontId="36" fillId="6" borderId="144" xfId="0" applyFont="1" applyFill="1" applyBorder="1" applyAlignment="1">
      <alignment horizontal="center"/>
    </xf>
    <xf numFmtId="0" fontId="14" fillId="6" borderId="46" xfId="0" applyFont="1" applyFill="1" applyBorder="1" applyAlignment="1">
      <alignment horizontal="center"/>
    </xf>
    <xf numFmtId="0" fontId="14" fillId="6" borderId="46" xfId="0" applyFont="1" applyFill="1" applyBorder="1" applyAlignment="1">
      <alignment horizontal="right"/>
    </xf>
    <xf numFmtId="0" fontId="14" fillId="6" borderId="146" xfId="0" applyFont="1" applyFill="1" applyBorder="1" applyAlignment="1">
      <alignment horizontal="center"/>
    </xf>
    <xf numFmtId="0" fontId="14" fillId="6" borderId="166" xfId="0" applyFont="1" applyFill="1" applyBorder="1" applyAlignment="1">
      <alignment horizontal="right"/>
    </xf>
    <xf numFmtId="0" fontId="14" fillId="6" borderId="166" xfId="0" applyFont="1" applyFill="1" applyBorder="1" applyAlignment="1">
      <alignment horizontal="center"/>
    </xf>
    <xf numFmtId="0" fontId="1" fillId="0" borderId="144" xfId="0" applyFont="1" applyBorder="1" applyAlignment="1">
      <alignment horizontal="center"/>
    </xf>
    <xf numFmtId="164" fontId="14" fillId="6" borderId="46" xfId="2" applyFont="1" applyFill="1" applyBorder="1" applyAlignment="1">
      <alignment horizontal="right"/>
    </xf>
    <xf numFmtId="164" fontId="14" fillId="6" borderId="46" xfId="2" applyFont="1" applyFill="1" applyBorder="1" applyAlignment="1">
      <alignment horizontal="center"/>
    </xf>
    <xf numFmtId="164" fontId="36" fillId="6" borderId="146" xfId="2" applyFont="1" applyFill="1" applyBorder="1" applyAlignment="1">
      <alignment horizontal="center"/>
    </xf>
    <xf numFmtId="164" fontId="36" fillId="6" borderId="144" xfId="2" applyFont="1" applyFill="1" applyBorder="1" applyAlignment="1">
      <alignment horizontal="center"/>
    </xf>
    <xf numFmtId="0" fontId="1" fillId="0" borderId="146" xfId="0" applyFont="1" applyBorder="1" applyAlignment="1">
      <alignment horizontal="center"/>
    </xf>
    <xf numFmtId="164" fontId="36" fillId="6" borderId="46" xfId="2" applyFont="1" applyFill="1" applyBorder="1" applyAlignment="1"/>
    <xf numFmtId="164" fontId="36" fillId="6" borderId="46" xfId="2" applyFont="1" applyFill="1" applyBorder="1" applyAlignment="1">
      <alignment horizontal="center"/>
    </xf>
    <xf numFmtId="164" fontId="36" fillId="6" borderId="46" xfId="2" applyFont="1" applyFill="1" applyBorder="1" applyAlignment="1">
      <alignment horizontal="left"/>
    </xf>
    <xf numFmtId="1" fontId="36" fillId="6" borderId="46" xfId="0" applyNumberFormat="1" applyFont="1" applyFill="1" applyBorder="1" applyAlignment="1">
      <alignment horizontal="right"/>
    </xf>
    <xf numFmtId="164" fontId="36" fillId="6" borderId="118" xfId="2" applyFont="1" applyFill="1" applyBorder="1" applyAlignment="1">
      <alignment horizontal="left"/>
    </xf>
    <xf numFmtId="37" fontId="36" fillId="6" borderId="118" xfId="2" applyNumberFormat="1" applyFont="1" applyFill="1" applyBorder="1" applyAlignment="1">
      <alignment horizontal="center"/>
    </xf>
    <xf numFmtId="1" fontId="36" fillId="6" borderId="118" xfId="0" applyNumberFormat="1" applyFont="1" applyFill="1" applyBorder="1" applyAlignment="1">
      <alignment horizontal="left"/>
    </xf>
    <xf numFmtId="164" fontId="36" fillId="6" borderId="118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6" xfId="2" applyFont="1" applyFill="1" applyBorder="1" applyAlignment="1"/>
    <xf numFmtId="164" fontId="36" fillId="6" borderId="144" xfId="2" applyFont="1" applyFill="1" applyBorder="1" applyAlignment="1"/>
    <xf numFmtId="164" fontId="36" fillId="6" borderId="116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0" fontId="36" fillId="6" borderId="147" xfId="0" applyFont="1" applyFill="1" applyBorder="1"/>
    <xf numFmtId="0" fontId="36" fillId="6" borderId="149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7" xfId="0" applyFont="1" applyFill="1" applyBorder="1" applyAlignment="1">
      <alignment horizontal="left"/>
    </xf>
    <xf numFmtId="0" fontId="2" fillId="6" borderId="46" xfId="0" applyFont="1" applyFill="1" applyBorder="1" applyAlignment="1">
      <alignment horizontal="left"/>
    </xf>
    <xf numFmtId="0" fontId="41" fillId="6" borderId="46" xfId="2" applyNumberFormat="1" applyFont="1" applyFill="1" applyBorder="1" applyAlignment="1"/>
    <xf numFmtId="164" fontId="15" fillId="6" borderId="46" xfId="2" applyFont="1" applyFill="1" applyBorder="1" applyAlignment="1"/>
    <xf numFmtId="164" fontId="1" fillId="6" borderId="46" xfId="2" applyFont="1" applyFill="1" applyBorder="1"/>
    <xf numFmtId="0" fontId="1" fillId="6" borderId="46" xfId="0" applyFont="1" applyFill="1" applyBorder="1"/>
    <xf numFmtId="0" fontId="1" fillId="6" borderId="48" xfId="0" applyFont="1" applyFill="1" applyBorder="1"/>
    <xf numFmtId="0" fontId="42" fillId="6" borderId="46" xfId="2" applyNumberFormat="1" applyFont="1" applyFill="1" applyBorder="1" applyAlignment="1">
      <alignment horizontal="center"/>
    </xf>
    <xf numFmtId="0" fontId="32" fillId="6" borderId="46" xfId="0" applyFont="1" applyFill="1" applyBorder="1"/>
    <xf numFmtId="164" fontId="31" fillId="6" borderId="46" xfId="2" applyFont="1" applyFill="1" applyBorder="1" applyAlignment="1"/>
    <xf numFmtId="164" fontId="31" fillId="6" borderId="48" xfId="2" applyFont="1" applyFill="1" applyBorder="1" applyAlignment="1"/>
    <xf numFmtId="0" fontId="43" fillId="6" borderId="46" xfId="2" applyNumberFormat="1" applyFont="1" applyFill="1" applyBorder="1" applyAlignment="1">
      <alignment vertical="center"/>
    </xf>
    <xf numFmtId="164" fontId="43" fillId="6" borderId="46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164" fontId="16" fillId="6" borderId="46" xfId="2" applyFont="1" applyFill="1" applyBorder="1" applyAlignment="1">
      <alignment vertical="center"/>
    </xf>
    <xf numFmtId="0" fontId="42" fillId="6" borderId="46" xfId="2" applyNumberFormat="1" applyFont="1" applyFill="1" applyBorder="1" applyAlignment="1"/>
    <xf numFmtId="164" fontId="32" fillId="6" borderId="46" xfId="2" applyFont="1" applyFill="1" applyBorder="1"/>
    <xf numFmtId="1" fontId="32" fillId="6" borderId="46" xfId="0" applyNumberFormat="1" applyFont="1" applyFill="1" applyBorder="1" applyAlignment="1">
      <alignment horizontal="right"/>
    </xf>
    <xf numFmtId="0" fontId="41" fillId="6" borderId="46" xfId="2" applyNumberFormat="1" applyFont="1" applyFill="1" applyBorder="1" applyAlignment="1">
      <alignment horizontal="right"/>
    </xf>
    <xf numFmtId="37" fontId="15" fillId="6" borderId="46" xfId="2" applyNumberFormat="1" applyFont="1" applyFill="1" applyBorder="1" applyAlignment="1">
      <alignment horizontal="center"/>
    </xf>
    <xf numFmtId="1" fontId="15" fillId="6" borderId="46" xfId="0" applyNumberFormat="1" applyFont="1" applyFill="1" applyBorder="1" applyAlignment="1">
      <alignment horizontal="center"/>
    </xf>
    <xf numFmtId="0" fontId="1" fillId="7" borderId="46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1" xfId="2" applyFont="1" applyBorder="1" applyAlignment="1">
      <alignment horizontal="center"/>
    </xf>
    <xf numFmtId="0" fontId="38" fillId="0" borderId="51" xfId="0" applyFont="1" applyBorder="1" applyAlignment="1">
      <alignment horizontal="center"/>
    </xf>
    <xf numFmtId="164" fontId="38" fillId="0" borderId="51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4" xfId="0" applyFont="1" applyBorder="1" applyAlignment="1">
      <alignment horizontal="left"/>
    </xf>
    <xf numFmtId="164" fontId="1" fillId="0" borderId="39" xfId="2" applyFont="1" applyFill="1" applyBorder="1"/>
    <xf numFmtId="0" fontId="1" fillId="0" borderId="55" xfId="0" applyFont="1" applyBorder="1"/>
    <xf numFmtId="164" fontId="2" fillId="0" borderId="73" xfId="0" applyNumberFormat="1" applyFont="1" applyBorder="1" applyAlignment="1">
      <alignment horizontal="center"/>
    </xf>
    <xf numFmtId="164" fontId="2" fillId="0" borderId="74" xfId="0" applyNumberFormat="1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4" xfId="0" applyFont="1" applyFill="1" applyBorder="1" applyAlignment="1">
      <alignment horizontal="left"/>
    </xf>
    <xf numFmtId="164" fontId="1" fillId="5" borderId="65" xfId="2" applyFont="1" applyFill="1" applyBorder="1"/>
    <xf numFmtId="0" fontId="1" fillId="5" borderId="66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7" xfId="0" applyFont="1" applyFill="1" applyBorder="1" applyAlignment="1">
      <alignment horizontal="left"/>
    </xf>
    <xf numFmtId="164" fontId="1" fillId="5" borderId="68" xfId="2" applyFont="1" applyFill="1" applyBorder="1"/>
    <xf numFmtId="0" fontId="1" fillId="5" borderId="69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0" xfId="0" applyFont="1" applyFill="1" applyBorder="1"/>
    <xf numFmtId="0" fontId="2" fillId="0" borderId="7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39" xfId="0" applyFont="1" applyBorder="1"/>
    <xf numFmtId="164" fontId="1" fillId="0" borderId="39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6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1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6" xfId="0" applyFont="1" applyBorder="1" applyAlignment="1">
      <alignment horizontal="left"/>
    </xf>
    <xf numFmtId="164" fontId="1" fillId="0" borderId="57" xfId="2" applyFont="1" applyFill="1" applyBorder="1"/>
    <xf numFmtId="0" fontId="1" fillId="0" borderId="58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78" xfId="0" applyNumberFormat="1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1" fillId="0" borderId="52" xfId="0" applyFont="1" applyBorder="1" applyAlignment="1">
      <alignment horizontal="left"/>
    </xf>
    <xf numFmtId="164" fontId="1" fillId="0" borderId="53" xfId="2" applyFont="1" applyFill="1" applyBorder="1"/>
    <xf numFmtId="164" fontId="1" fillId="0" borderId="53" xfId="0" applyNumberFormat="1" applyFont="1" applyBorder="1"/>
    <xf numFmtId="0" fontId="1" fillId="0" borderId="40" xfId="0" applyFont="1" applyBorder="1" applyAlignment="1">
      <alignment horizontal="left"/>
    </xf>
    <xf numFmtId="164" fontId="1" fillId="0" borderId="39" xfId="2" applyFont="1" applyBorder="1"/>
    <xf numFmtId="0" fontId="1" fillId="0" borderId="39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0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6" xfId="2" applyFont="1" applyFill="1" applyBorder="1" applyAlignment="1"/>
    <xf numFmtId="164" fontId="42" fillId="6" borderId="46" xfId="2" applyFont="1" applyFill="1" applyBorder="1" applyAlignment="1">
      <alignment horizontal="center"/>
    </xf>
    <xf numFmtId="164" fontId="42" fillId="6" borderId="46" xfId="2" applyFont="1" applyFill="1" applyBorder="1" applyAlignment="1"/>
    <xf numFmtId="164" fontId="41" fillId="6" borderId="46" xfId="2" applyFont="1" applyFill="1" applyBorder="1" applyAlignment="1">
      <alignment horizontal="right"/>
    </xf>
    <xf numFmtId="0" fontId="38" fillId="0" borderId="39" xfId="0" applyFont="1" applyBorder="1" applyAlignment="1">
      <alignment horizontal="center"/>
    </xf>
    <xf numFmtId="164" fontId="38" fillId="0" borderId="39" xfId="2" applyFont="1" applyBorder="1" applyAlignment="1">
      <alignment horizontal="center"/>
    </xf>
    <xf numFmtId="164" fontId="38" fillId="0" borderId="39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4" xfId="0" applyFont="1" applyBorder="1" applyAlignment="1">
      <alignment horizontal="left"/>
    </xf>
    <xf numFmtId="0" fontId="1" fillId="0" borderId="85" xfId="0" applyFont="1" applyBorder="1"/>
    <xf numFmtId="0" fontId="1" fillId="0" borderId="60" xfId="0" applyFont="1" applyBorder="1" applyAlignment="1">
      <alignment horizontal="left"/>
    </xf>
    <xf numFmtId="0" fontId="1" fillId="0" borderId="63" xfId="0" applyFont="1" applyBorder="1"/>
    <xf numFmtId="164" fontId="2" fillId="0" borderId="86" xfId="0" applyNumberFormat="1" applyFont="1" applyBorder="1" applyAlignment="1">
      <alignment horizontal="center"/>
    </xf>
    <xf numFmtId="164" fontId="2" fillId="0" borderId="87" xfId="0" applyNumberFormat="1" applyFont="1" applyBorder="1" applyAlignment="1">
      <alignment horizontal="center"/>
    </xf>
    <xf numFmtId="0" fontId="1" fillId="0" borderId="89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1" xfId="0" applyFont="1" applyFill="1" applyBorder="1"/>
    <xf numFmtId="0" fontId="1" fillId="6" borderId="102" xfId="0" applyFont="1" applyFill="1" applyBorder="1"/>
    <xf numFmtId="0" fontId="1" fillId="6" borderId="102" xfId="0" applyFont="1" applyFill="1" applyBorder="1" applyAlignment="1">
      <alignment horizontal="center"/>
    </xf>
    <xf numFmtId="0" fontId="1" fillId="6" borderId="105" xfId="0" applyFont="1" applyFill="1" applyBorder="1"/>
    <xf numFmtId="0" fontId="1" fillId="6" borderId="106" xfId="0" applyFont="1" applyFill="1" applyBorder="1"/>
    <xf numFmtId="0" fontId="1" fillId="6" borderId="100" xfId="0" applyFont="1" applyFill="1" applyBorder="1"/>
    <xf numFmtId="0" fontId="1" fillId="6" borderId="100" xfId="0" applyFont="1" applyFill="1" applyBorder="1" applyAlignment="1">
      <alignment horizontal="center"/>
    </xf>
    <xf numFmtId="0" fontId="1" fillId="6" borderId="107" xfId="0" applyFont="1" applyFill="1" applyBorder="1"/>
    <xf numFmtId="0" fontId="31" fillId="0" borderId="0" xfId="0" applyFont="1"/>
    <xf numFmtId="0" fontId="9" fillId="6" borderId="106" xfId="0" applyFont="1" applyFill="1" applyBorder="1"/>
    <xf numFmtId="1" fontId="1" fillId="6" borderId="100" xfId="0" applyNumberFormat="1" applyFont="1" applyFill="1" applyBorder="1"/>
    <xf numFmtId="2" fontId="1" fillId="6" borderId="100" xfId="0" applyNumberFormat="1" applyFont="1" applyFill="1" applyBorder="1"/>
    <xf numFmtId="2" fontId="1" fillId="0" borderId="5" xfId="2" applyNumberFormat="1" applyFont="1" applyFill="1" applyBorder="1" applyAlignment="1">
      <alignment shrinkToFit="1"/>
    </xf>
    <xf numFmtId="0" fontId="2" fillId="6" borderId="106" xfId="0" applyFont="1" applyFill="1" applyBorder="1"/>
    <xf numFmtId="0" fontId="31" fillId="6" borderId="100" xfId="0" applyFont="1" applyFill="1" applyBorder="1"/>
    <xf numFmtId="2" fontId="31" fillId="6" borderId="100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8" xfId="0" applyFont="1" applyFill="1" applyBorder="1"/>
    <xf numFmtId="0" fontId="1" fillId="6" borderId="109" xfId="0" applyFont="1" applyFill="1" applyBorder="1"/>
    <xf numFmtId="0" fontId="31" fillId="6" borderId="109" xfId="0" applyFont="1" applyFill="1" applyBorder="1"/>
    <xf numFmtId="2" fontId="31" fillId="6" borderId="109" xfId="0" applyNumberFormat="1" applyFont="1" applyFill="1" applyBorder="1"/>
    <xf numFmtId="0" fontId="1" fillId="6" borderId="110" xfId="0" applyFont="1" applyFill="1" applyBorder="1"/>
    <xf numFmtId="164" fontId="1" fillId="0" borderId="51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8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6" xfId="2" applyFont="1" applyFill="1" applyBorder="1" applyAlignment="1">
      <alignment horizontal="center"/>
    </xf>
    <xf numFmtId="164" fontId="2" fillId="6" borderId="46" xfId="2" applyFont="1" applyFill="1" applyBorder="1" applyAlignment="1"/>
    <xf numFmtId="164" fontId="2" fillId="6" borderId="48" xfId="2" applyFont="1" applyFill="1" applyBorder="1" applyAlignment="1"/>
    <xf numFmtId="164" fontId="41" fillId="6" borderId="46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164" fontId="15" fillId="6" borderId="46" xfId="2" applyFont="1" applyFill="1" applyBorder="1" applyAlignment="1">
      <alignment vertical="center"/>
    </xf>
    <xf numFmtId="0" fontId="2" fillId="0" borderId="39" xfId="0" applyFont="1" applyBorder="1" applyAlignment="1">
      <alignment horizontal="center"/>
    </xf>
    <xf numFmtId="164" fontId="2" fillId="0" borderId="39" xfId="2" applyFont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6" xfId="2" applyFont="1" applyFill="1" applyBorder="1" applyAlignment="1"/>
    <xf numFmtId="164" fontId="43" fillId="6" borderId="46" xfId="2" applyFont="1" applyFill="1" applyBorder="1" applyAlignment="1"/>
    <xf numFmtId="164" fontId="16" fillId="6" borderId="47" xfId="2" applyFont="1" applyFill="1" applyBorder="1" applyAlignment="1"/>
    <xf numFmtId="164" fontId="16" fillId="6" borderId="46" xfId="2" applyFont="1" applyFill="1" applyBorder="1" applyAlignment="1"/>
    <xf numFmtId="164" fontId="32" fillId="6" borderId="46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39" xfId="2" applyFont="1" applyFill="1" applyBorder="1" applyAlignment="1"/>
    <xf numFmtId="164" fontId="1" fillId="5" borderId="65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8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0" fillId="0" borderId="13" xfId="0" applyFont="1" applyBorder="1" applyAlignment="1">
      <alignment horizontal="center"/>
    </xf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39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0" xfId="0" applyFont="1" applyBorder="1" applyAlignment="1">
      <alignment horizontal="left"/>
    </xf>
    <xf numFmtId="164" fontId="1" fillId="0" borderId="91" xfId="2" applyFont="1" applyFill="1" applyBorder="1"/>
    <xf numFmtId="0" fontId="1" fillId="0" borderId="92" xfId="0" applyFont="1" applyBorder="1"/>
    <xf numFmtId="0" fontId="1" fillId="0" borderId="93" xfId="0" applyFont="1" applyBorder="1" applyAlignment="1">
      <alignment horizontal="left"/>
    </xf>
    <xf numFmtId="0" fontId="1" fillId="0" borderId="94" xfId="0" applyFont="1" applyBorder="1"/>
    <xf numFmtId="164" fontId="1" fillId="0" borderId="95" xfId="2" applyFont="1" applyFill="1" applyBorder="1"/>
    <xf numFmtId="164" fontId="2" fillId="0" borderId="97" xfId="0" applyNumberFormat="1" applyFont="1" applyBorder="1" applyAlignment="1">
      <alignment horizontal="center"/>
    </xf>
    <xf numFmtId="164" fontId="2" fillId="0" borderId="96" xfId="2" applyFont="1" applyFill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8" xfId="0" applyNumberFormat="1" applyFont="1" applyBorder="1" applyAlignment="1">
      <alignment horizontal="center"/>
    </xf>
    <xf numFmtId="164" fontId="2" fillId="0" borderId="99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8" xfId="0" applyFont="1" applyBorder="1"/>
    <xf numFmtId="164" fontId="1" fillId="0" borderId="37" xfId="2" applyFont="1" applyFill="1" applyBorder="1"/>
    <xf numFmtId="164" fontId="2" fillId="0" borderId="112" xfId="0" applyNumberFormat="1" applyFont="1" applyBorder="1" applyAlignment="1">
      <alignment horizontal="center"/>
    </xf>
    <xf numFmtId="164" fontId="2" fillId="0" borderId="113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7" xfId="0" applyFont="1" applyFill="1" applyBorder="1" applyAlignment="1">
      <alignment horizontal="left"/>
    </xf>
    <xf numFmtId="0" fontId="31" fillId="6" borderId="46" xfId="0" applyFont="1" applyFill="1" applyBorder="1" applyAlignment="1">
      <alignment horizontal="left"/>
    </xf>
    <xf numFmtId="164" fontId="14" fillId="6" borderId="46" xfId="2" applyFont="1" applyFill="1" applyBorder="1" applyAlignment="1"/>
    <xf numFmtId="164" fontId="10" fillId="6" borderId="46" xfId="2" applyFont="1" applyFill="1" applyBorder="1"/>
    <xf numFmtId="0" fontId="10" fillId="6" borderId="46" xfId="0" applyFont="1" applyFill="1" applyBorder="1"/>
    <xf numFmtId="0" fontId="10" fillId="6" borderId="48" xfId="0" applyFont="1" applyFill="1" applyBorder="1"/>
    <xf numFmtId="0" fontId="53" fillId="6" borderId="46" xfId="0" applyFont="1" applyFill="1" applyBorder="1"/>
    <xf numFmtId="164" fontId="42" fillId="6" borderId="46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14" fillId="6" borderId="46" xfId="2" applyFont="1" applyFill="1" applyBorder="1" applyAlignment="1">
      <alignment vertical="center"/>
    </xf>
    <xf numFmtId="164" fontId="53" fillId="6" borderId="46" xfId="2" applyFont="1" applyFill="1" applyBorder="1"/>
    <xf numFmtId="1" fontId="53" fillId="6" borderId="46" xfId="0" applyNumberFormat="1" applyFont="1" applyFill="1" applyBorder="1" applyAlignment="1">
      <alignment horizontal="right"/>
    </xf>
    <xf numFmtId="164" fontId="42" fillId="6" borderId="46" xfId="2" applyFont="1" applyFill="1" applyBorder="1" applyAlignment="1">
      <alignment horizontal="right"/>
    </xf>
    <xf numFmtId="37" fontId="14" fillId="6" borderId="46" xfId="2" applyNumberFormat="1" applyFont="1" applyFill="1" applyBorder="1" applyAlignment="1">
      <alignment horizontal="center"/>
    </xf>
    <xf numFmtId="1" fontId="14" fillId="6" borderId="46" xfId="0" applyNumberFormat="1" applyFont="1" applyFill="1" applyBorder="1" applyAlignment="1">
      <alignment horizontal="center"/>
    </xf>
    <xf numFmtId="164" fontId="19" fillId="6" borderId="46" xfId="2" applyFont="1" applyFill="1" applyBorder="1" applyAlignment="1">
      <alignment horizontal="left"/>
    </xf>
    <xf numFmtId="0" fontId="10" fillId="7" borderId="46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39" xfId="0" applyFont="1" applyBorder="1" applyAlignment="1">
      <alignment horizontal="center"/>
    </xf>
    <xf numFmtId="164" fontId="31" fillId="0" borderId="39" xfId="2" applyFont="1" applyBorder="1" applyAlignment="1">
      <alignment horizontal="center"/>
    </xf>
    <xf numFmtId="164" fontId="31" fillId="0" borderId="39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39" xfId="0" applyFont="1" applyBorder="1" applyAlignment="1">
      <alignment horizontal="left"/>
    </xf>
    <xf numFmtId="164" fontId="10" fillId="0" borderId="39" xfId="2" applyFont="1" applyBorder="1"/>
    <xf numFmtId="0" fontId="10" fillId="0" borderId="39" xfId="0" applyFont="1" applyBorder="1"/>
    <xf numFmtId="164" fontId="10" fillId="0" borderId="39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4" xfId="0" applyFont="1" applyBorder="1" applyAlignment="1">
      <alignment horizontal="left"/>
    </xf>
    <xf numFmtId="164" fontId="10" fillId="0" borderId="39" xfId="2" applyFont="1" applyFill="1" applyBorder="1"/>
    <xf numFmtId="0" fontId="10" fillId="0" borderId="55" xfId="0" applyFont="1" applyBorder="1"/>
    <xf numFmtId="164" fontId="31" fillId="0" borderId="73" xfId="0" applyNumberFormat="1" applyFont="1" applyBorder="1" applyAlignment="1">
      <alignment horizontal="center"/>
    </xf>
    <xf numFmtId="164" fontId="31" fillId="0" borderId="74" xfId="0" applyNumberFormat="1" applyFont="1" applyBorder="1" applyAlignment="1">
      <alignment horizontal="center"/>
    </xf>
    <xf numFmtId="0" fontId="31" fillId="0" borderId="75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4" xfId="0" applyFont="1" applyBorder="1" applyAlignment="1">
      <alignment horizontal="left"/>
    </xf>
    <xf numFmtId="164" fontId="10" fillId="0" borderId="51" xfId="2" applyFont="1" applyFill="1" applyBorder="1"/>
    <xf numFmtId="0" fontId="10" fillId="0" borderId="85" xfId="0" applyFont="1" applyBorder="1"/>
    <xf numFmtId="0" fontId="10" fillId="0" borderId="60" xfId="0" applyFont="1" applyBorder="1" applyAlignment="1">
      <alignment horizontal="left"/>
    </xf>
    <xf numFmtId="164" fontId="10" fillId="0" borderId="53" xfId="2" applyFont="1" applyFill="1" applyBorder="1"/>
    <xf numFmtId="0" fontId="10" fillId="0" borderId="63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4" xfId="0" applyFont="1" applyFill="1" applyBorder="1" applyAlignment="1">
      <alignment horizontal="left"/>
    </xf>
    <xf numFmtId="164" fontId="10" fillId="5" borderId="65" xfId="2" applyFont="1" applyFill="1" applyBorder="1"/>
    <xf numFmtId="0" fontId="10" fillId="5" borderId="66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7" xfId="0" applyFont="1" applyFill="1" applyBorder="1" applyAlignment="1">
      <alignment horizontal="left"/>
    </xf>
    <xf numFmtId="164" fontId="10" fillId="5" borderId="68" xfId="2" applyFont="1" applyFill="1" applyBorder="1"/>
    <xf numFmtId="0" fontId="10" fillId="5" borderId="69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0" xfId="0" applyFont="1" applyFill="1" applyBorder="1"/>
    <xf numFmtId="0" fontId="31" fillId="0" borderId="76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1" xfId="0" applyNumberFormat="1" applyFont="1" applyBorder="1" applyAlignment="1">
      <alignment horizontal="center"/>
    </xf>
    <xf numFmtId="0" fontId="10" fillId="0" borderId="93" xfId="0" applyFont="1" applyBorder="1" applyAlignment="1">
      <alignment horizontal="left"/>
    </xf>
    <xf numFmtId="0" fontId="10" fillId="0" borderId="88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2" xfId="0" applyNumberFormat="1" applyFont="1" applyBorder="1" applyAlignment="1">
      <alignment horizontal="center"/>
    </xf>
    <xf numFmtId="164" fontId="31" fillId="0" borderId="113" xfId="0" applyNumberFormat="1" applyFont="1" applyBorder="1" applyAlignment="1">
      <alignment horizontal="center"/>
    </xf>
    <xf numFmtId="0" fontId="31" fillId="0" borderId="79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5" xfId="0" applyNumberFormat="1" applyFont="1" applyBorder="1"/>
    <xf numFmtId="164" fontId="1" fillId="0" borderId="79" xfId="0" applyNumberFormat="1" applyFont="1" applyBorder="1"/>
    <xf numFmtId="164" fontId="1" fillId="5" borderId="71" xfId="0" applyNumberFormat="1" applyFont="1" applyFill="1" applyBorder="1"/>
    <xf numFmtId="0" fontId="2" fillId="5" borderId="167" xfId="0" applyFont="1" applyFill="1" applyBorder="1" applyAlignment="1">
      <alignment vertical="center"/>
    </xf>
    <xf numFmtId="164" fontId="2" fillId="0" borderId="111" xfId="0" applyNumberFormat="1" applyFont="1" applyBorder="1" applyAlignment="1">
      <alignment horizontal="center"/>
    </xf>
    <xf numFmtId="164" fontId="1" fillId="0" borderId="52" xfId="0" applyNumberFormat="1" applyFont="1" applyBorder="1"/>
    <xf numFmtId="164" fontId="1" fillId="0" borderId="40" xfId="0" applyNumberFormat="1" applyFont="1" applyBorder="1"/>
    <xf numFmtId="0" fontId="1" fillId="0" borderId="168" xfId="0" applyFont="1" applyBorder="1"/>
    <xf numFmtId="0" fontId="1" fillId="0" borderId="169" xfId="0" applyFont="1" applyBorder="1"/>
    <xf numFmtId="0" fontId="1" fillId="0" borderId="170" xfId="0" applyFont="1" applyBorder="1"/>
    <xf numFmtId="0" fontId="1" fillId="0" borderId="171" xfId="0" applyFont="1" applyBorder="1"/>
    <xf numFmtId="172" fontId="1" fillId="0" borderId="5" xfId="2" applyNumberFormat="1" applyFont="1" applyFill="1" applyBorder="1" applyAlignment="1">
      <alignment shrinkToFit="1"/>
    </xf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10" fontId="2" fillId="0" borderId="0" xfId="0" applyNumberFormat="1" applyFont="1" applyAlignment="1">
      <alignment horizontal="center"/>
    </xf>
    <xf numFmtId="10" fontId="38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9" fontId="2" fillId="3" borderId="12" xfId="0" applyNumberFormat="1" applyFont="1" applyFill="1" applyBorder="1" applyAlignment="1">
      <alignment horizontal="center"/>
    </xf>
    <xf numFmtId="49" fontId="1" fillId="3" borderId="13" xfId="0" applyNumberFormat="1" applyFont="1" applyFill="1" applyBorder="1" applyAlignment="1">
      <alignment horizontal="left"/>
    </xf>
    <xf numFmtId="0" fontId="1" fillId="3" borderId="5" xfId="2" applyNumberFormat="1" applyFont="1" applyFill="1" applyBorder="1" applyAlignment="1">
      <alignment shrinkToFit="1"/>
    </xf>
    <xf numFmtId="0" fontId="1" fillId="3" borderId="0" xfId="0" applyFont="1" applyFill="1" applyAlignment="1">
      <alignment horizontal="center" shrinkToFit="1"/>
    </xf>
    <xf numFmtId="164" fontId="1" fillId="3" borderId="0" xfId="2" applyFont="1" applyFill="1" applyBorder="1" applyAlignment="1">
      <alignment horizontal="center"/>
    </xf>
    <xf numFmtId="164" fontId="1" fillId="3" borderId="6" xfId="2" applyFont="1" applyFill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164" fontId="1" fillId="3" borderId="0" xfId="2" applyFont="1" applyFill="1" applyBorder="1" applyAlignment="1">
      <alignment horizontal="right"/>
    </xf>
    <xf numFmtId="164" fontId="1" fillId="3" borderId="4" xfId="2" applyFont="1" applyFill="1" applyBorder="1"/>
    <xf numFmtId="164" fontId="1" fillId="3" borderId="5" xfId="0" applyNumberFormat="1" applyFont="1" applyFill="1" applyBorder="1"/>
    <xf numFmtId="49" fontId="1" fillId="3" borderId="7" xfId="0" applyNumberFormat="1" applyFont="1" applyFill="1" applyBorder="1" applyAlignment="1">
      <alignment horizontal="right"/>
    </xf>
    <xf numFmtId="49" fontId="1" fillId="3" borderId="0" xfId="0" applyNumberFormat="1" applyFont="1" applyFill="1" applyAlignment="1">
      <alignment horizontal="left"/>
    </xf>
    <xf numFmtId="1" fontId="1" fillId="3" borderId="5" xfId="0" applyNumberFormat="1" applyFont="1" applyFill="1" applyBorder="1" applyAlignment="1">
      <alignment horizontal="right"/>
    </xf>
    <xf numFmtId="164" fontId="1" fillId="3" borderId="19" xfId="0" applyNumberFormat="1" applyFont="1" applyFill="1" applyBorder="1"/>
    <xf numFmtId="49" fontId="2" fillId="3" borderId="7" xfId="0" applyNumberFormat="1" applyFont="1" applyFill="1" applyBorder="1" applyAlignment="1">
      <alignment horizontal="right"/>
    </xf>
    <xf numFmtId="164" fontId="1" fillId="3" borderId="4" xfId="2" applyFont="1" applyFill="1" applyBorder="1" applyAlignment="1"/>
    <xf numFmtId="49" fontId="2" fillId="3" borderId="7" xfId="0" applyNumberFormat="1" applyFont="1" applyFill="1" applyBorder="1" applyAlignment="1">
      <alignment horizontal="center"/>
    </xf>
    <xf numFmtId="0" fontId="10" fillId="3" borderId="13" xfId="0" applyFont="1" applyFill="1" applyBorder="1"/>
    <xf numFmtId="0" fontId="10" fillId="3" borderId="18" xfId="0" applyFont="1" applyFill="1" applyBorder="1"/>
    <xf numFmtId="0" fontId="1" fillId="3" borderId="0" xfId="0" applyFont="1" applyFill="1"/>
    <xf numFmtId="1" fontId="1" fillId="3" borderId="5" xfId="2" applyNumberFormat="1" applyFont="1" applyFill="1" applyBorder="1" applyAlignment="1">
      <alignment shrinkToFit="1"/>
    </xf>
    <xf numFmtId="49" fontId="1" fillId="3" borderId="0" xfId="0" applyNumberFormat="1" applyFont="1" applyFill="1" applyAlignment="1">
      <alignment horizontal="left" wrapText="1"/>
    </xf>
    <xf numFmtId="1" fontId="1" fillId="0" borderId="0" xfId="2" applyNumberFormat="1" applyFont="1" applyFill="1" applyBorder="1" applyAlignment="1">
      <alignment shrinkToFit="1"/>
    </xf>
    <xf numFmtId="0" fontId="10" fillId="3" borderId="7" xfId="0" applyFont="1" applyFill="1" applyBorder="1"/>
    <xf numFmtId="0" fontId="10" fillId="3" borderId="6" xfId="0" applyFont="1" applyFill="1" applyBorder="1"/>
    <xf numFmtId="1" fontId="1" fillId="3" borderId="0" xfId="2" applyNumberFormat="1" applyFont="1" applyFill="1" applyBorder="1" applyAlignment="1">
      <alignment shrinkToFi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0" fillId="3" borderId="0" xfId="0" applyFont="1" applyFill="1"/>
    <xf numFmtId="0" fontId="1" fillId="0" borderId="54" xfId="0" applyFont="1" applyBorder="1" applyAlignment="1">
      <alignment horizontal="left" wrapText="1"/>
    </xf>
    <xf numFmtId="0" fontId="1" fillId="0" borderId="54" xfId="0" applyFont="1" applyBorder="1" applyAlignment="1">
      <alignment horizontal="center"/>
    </xf>
    <xf numFmtId="9" fontId="2" fillId="0" borderId="0" xfId="4" applyFont="1" applyAlignment="1">
      <alignment horizontal="center"/>
    </xf>
    <xf numFmtId="1" fontId="10" fillId="0" borderId="5" xfId="2" applyNumberFormat="1" applyFont="1" applyFill="1" applyBorder="1" applyAlignment="1">
      <alignment shrinkToFit="1"/>
    </xf>
    <xf numFmtId="0" fontId="23" fillId="0" borderId="0" xfId="0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9" fontId="1" fillId="0" borderId="0" xfId="4" applyFont="1" applyAlignment="1">
      <alignment horizontal="right"/>
    </xf>
    <xf numFmtId="9" fontId="1" fillId="0" borderId="0" xfId="4" applyFont="1" applyFill="1" applyBorder="1" applyAlignment="1">
      <alignment horizontal="center"/>
    </xf>
    <xf numFmtId="0" fontId="1" fillId="14" borderId="150" xfId="0" applyFont="1" applyFill="1" applyBorder="1" applyAlignment="1">
      <alignment horizontal="center"/>
    </xf>
    <xf numFmtId="0" fontId="1" fillId="14" borderId="151" xfId="0" applyFont="1" applyFill="1" applyBorder="1" applyAlignment="1">
      <alignment horizontal="left"/>
    </xf>
    <xf numFmtId="0" fontId="1" fillId="14" borderId="151" xfId="0" applyFont="1" applyFill="1" applyBorder="1"/>
    <xf numFmtId="0" fontId="1" fillId="14" borderId="151" xfId="0" applyFont="1" applyFill="1" applyBorder="1" applyAlignment="1">
      <alignment horizontal="center"/>
    </xf>
    <xf numFmtId="0" fontId="1" fillId="14" borderId="152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64" fontId="3" fillId="0" borderId="0" xfId="2" applyFont="1" applyBorder="1" applyAlignment="1">
      <alignment horizontal="right" vertical="center"/>
    </xf>
    <xf numFmtId="9" fontId="27" fillId="0" borderId="0" xfId="4" applyFont="1" applyAlignment="1">
      <alignment horizontal="right" vertical="center"/>
    </xf>
    <xf numFmtId="164" fontId="7" fillId="0" borderId="129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wrapText="1"/>
    </xf>
    <xf numFmtId="0" fontId="1" fillId="0" borderId="55" xfId="0" applyFont="1" applyBorder="1" applyAlignment="1">
      <alignment wrapText="1"/>
    </xf>
    <xf numFmtId="0" fontId="10" fillId="3" borderId="12" xfId="0" applyFont="1" applyFill="1" applyBorder="1"/>
    <xf numFmtId="164" fontId="1" fillId="3" borderId="0" xfId="2" applyFont="1" applyFill="1" applyBorder="1" applyAlignment="1">
      <alignment shrinkToFit="1"/>
    </xf>
    <xf numFmtId="0" fontId="1" fillId="0" borderId="0" xfId="0" applyFont="1" applyAlignment="1">
      <alignment wrapText="1"/>
    </xf>
    <xf numFmtId="0" fontId="24" fillId="3" borderId="128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164" fontId="24" fillId="3" borderId="0" xfId="0" applyNumberFormat="1" applyFont="1" applyFill="1" applyAlignment="1">
      <alignment vertical="center"/>
    </xf>
    <xf numFmtId="164" fontId="24" fillId="3" borderId="0" xfId="2" applyFont="1" applyFill="1" applyBorder="1" applyAlignment="1">
      <alignment vertical="center"/>
    </xf>
    <xf numFmtId="0" fontId="24" fillId="3" borderId="129" xfId="0" applyFont="1" applyFill="1" applyBorder="1" applyAlignment="1">
      <alignment vertical="center"/>
    </xf>
    <xf numFmtId="0" fontId="10" fillId="0" borderId="55" xfId="0" applyFont="1" applyBorder="1" applyAlignment="1">
      <alignment wrapText="1"/>
    </xf>
    <xf numFmtId="9" fontId="0" fillId="0" borderId="129" xfId="4" applyFont="1" applyBorder="1"/>
    <xf numFmtId="0" fontId="10" fillId="0" borderId="0" xfId="0" applyFont="1" applyAlignment="1">
      <alignment wrapText="1"/>
    </xf>
    <xf numFmtId="49" fontId="1" fillId="0" borderId="0" xfId="0" applyNumberFormat="1" applyFont="1" applyAlignment="1">
      <alignment horizontal="left" wrapText="1"/>
    </xf>
    <xf numFmtId="164" fontId="3" fillId="0" borderId="0" xfId="2" applyFont="1" applyBorder="1" applyAlignment="1">
      <alignment horizontal="right" vertical="center"/>
    </xf>
    <xf numFmtId="0" fontId="16" fillId="6" borderId="120" xfId="2" applyNumberFormat="1" applyFont="1" applyFill="1" applyBorder="1" applyAlignment="1">
      <alignment horizontal="left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29" xfId="2" applyNumberFormat="1" applyFont="1" applyFill="1" applyBorder="1" applyAlignment="1">
      <alignment horizontal="center" vertical="center"/>
    </xf>
    <xf numFmtId="0" fontId="16" fillId="6" borderId="124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26" fillId="6" borderId="122" xfId="2" applyNumberFormat="1" applyFont="1" applyFill="1" applyBorder="1" applyAlignment="1">
      <alignment horizontal="left" vertical="center"/>
    </xf>
    <xf numFmtId="0" fontId="26" fillId="6" borderId="123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29" xfId="0" applyNumberFormat="1" applyFont="1" applyBorder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17" fontId="15" fillId="5" borderId="138" xfId="0" applyNumberFormat="1" applyFont="1" applyFill="1" applyBorder="1" applyAlignment="1">
      <alignment horizontal="center"/>
    </xf>
    <xf numFmtId="0" fontId="15" fillId="5" borderId="138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6" fillId="6" borderId="157" xfId="2" applyNumberFormat="1" applyFont="1" applyFill="1" applyBorder="1" applyAlignment="1">
      <alignment horizontal="left"/>
    </xf>
    <xf numFmtId="0" fontId="26" fillId="6" borderId="123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4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center"/>
    </xf>
    <xf numFmtId="0" fontId="16" fillId="6" borderId="156" xfId="2" applyNumberFormat="1" applyFont="1" applyFill="1" applyBorder="1" applyAlignment="1">
      <alignment horizontal="left"/>
    </xf>
    <xf numFmtId="0" fontId="16" fillId="6" borderId="124" xfId="2" applyNumberFormat="1" applyFont="1" applyFill="1" applyBorder="1" applyAlignment="1">
      <alignment horizontal="left"/>
    </xf>
    <xf numFmtId="164" fontId="1" fillId="0" borderId="15" xfId="0" applyNumberFormat="1" applyFont="1" applyBorder="1" applyAlignment="1">
      <alignment horizontal="right"/>
    </xf>
    <xf numFmtId="164" fontId="1" fillId="0" borderId="172" xfId="0" applyNumberFormat="1" applyFont="1" applyBorder="1" applyAlignment="1">
      <alignment horizontal="right"/>
    </xf>
    <xf numFmtId="164" fontId="1" fillId="0" borderId="38" xfId="0" applyNumberFormat="1" applyFont="1" applyBorder="1" applyAlignment="1">
      <alignment horizontal="right"/>
    </xf>
    <xf numFmtId="164" fontId="1" fillId="0" borderId="173" xfId="0" applyNumberFormat="1" applyFont="1" applyBorder="1" applyAlignment="1">
      <alignment horizontal="right"/>
    </xf>
    <xf numFmtId="0" fontId="34" fillId="0" borderId="114" xfId="0" applyFont="1" applyBorder="1" applyAlignment="1">
      <alignment horizontal="center"/>
    </xf>
    <xf numFmtId="0" fontId="34" fillId="0" borderId="115" xfId="0" applyFont="1" applyBorder="1" applyAlignment="1">
      <alignment horizontal="center"/>
    </xf>
    <xf numFmtId="0" fontId="34" fillId="0" borderId="165" xfId="0" applyFont="1" applyBorder="1" applyAlignment="1">
      <alignment horizontal="center"/>
    </xf>
    <xf numFmtId="0" fontId="34" fillId="0" borderId="145" xfId="0" applyFont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6" xfId="2" applyFont="1" applyFill="1" applyBorder="1" applyAlignment="1">
      <alignment horizontal="center"/>
    </xf>
    <xf numFmtId="0" fontId="36" fillId="6" borderId="116" xfId="0" applyFont="1" applyFill="1" applyBorder="1" applyAlignment="1">
      <alignment horizontal="left"/>
    </xf>
    <xf numFmtId="0" fontId="36" fillId="6" borderId="46" xfId="0" applyFont="1" applyFill="1" applyBorder="1" applyAlignment="1">
      <alignment horizontal="left"/>
    </xf>
    <xf numFmtId="164" fontId="9" fillId="11" borderId="0" xfId="2" applyFont="1" applyFill="1" applyBorder="1" applyAlignment="1">
      <alignment horizontal="center"/>
    </xf>
    <xf numFmtId="1" fontId="9" fillId="11" borderId="0" xfId="0" applyNumberFormat="1" applyFont="1" applyFill="1" applyAlignment="1">
      <alignment horizontal="center"/>
    </xf>
    <xf numFmtId="0" fontId="1" fillId="0" borderId="0" xfId="0" applyFont="1"/>
    <xf numFmtId="0" fontId="2" fillId="5" borderId="33" xfId="0" applyFont="1" applyFill="1" applyBorder="1" applyAlignment="1">
      <alignment horizontal="center"/>
    </xf>
    <xf numFmtId="1" fontId="1" fillId="5" borderId="10" xfId="0" applyNumberFormat="1" applyFont="1" applyFill="1" applyBorder="1" applyAlignment="1">
      <alignment horizontal="center" shrinkToFit="1"/>
    </xf>
    <xf numFmtId="0" fontId="9" fillId="5" borderId="72" xfId="0" applyFont="1" applyFill="1" applyBorder="1" applyAlignment="1">
      <alignment horizontal="center" vertical="center"/>
    </xf>
    <xf numFmtId="0" fontId="9" fillId="5" borderId="75" xfId="0" applyFont="1" applyFill="1" applyBorder="1" applyAlignment="1">
      <alignment horizontal="center" vertical="center"/>
    </xf>
    <xf numFmtId="0" fontId="9" fillId="5" borderId="59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164" fontId="9" fillId="5" borderId="61" xfId="2" applyFont="1" applyFill="1" applyBorder="1" applyAlignment="1">
      <alignment horizontal="center" vertical="center"/>
    </xf>
    <xf numFmtId="164" fontId="9" fillId="5" borderId="53" xfId="2" applyFont="1" applyFill="1" applyBorder="1" applyAlignment="1">
      <alignment horizontal="center" vertical="center"/>
    </xf>
    <xf numFmtId="0" fontId="9" fillId="5" borderId="62" xfId="0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80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5" fillId="6" borderId="47" xfId="0" applyFont="1" applyFill="1" applyBorder="1" applyAlignment="1">
      <alignment horizontal="left"/>
    </xf>
    <xf numFmtId="0" fontId="15" fillId="6" borderId="46" xfId="0" applyFont="1" applyFill="1" applyBorder="1" applyAlignment="1">
      <alignment horizontal="left"/>
    </xf>
    <xf numFmtId="0" fontId="40" fillId="0" borderId="0" xfId="0" applyFont="1" applyAlignment="1">
      <alignment horizontal="right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9" fillId="6" borderId="46" xfId="0" applyFont="1" applyFill="1" applyBorder="1" applyAlignment="1">
      <alignment horizontal="center"/>
    </xf>
    <xf numFmtId="0" fontId="9" fillId="6" borderId="48" xfId="0" applyFont="1" applyFill="1" applyBorder="1" applyAlignment="1">
      <alignment horizontal="center"/>
    </xf>
    <xf numFmtId="164" fontId="30" fillId="6" borderId="46" xfId="2" applyFont="1" applyFill="1" applyBorder="1" applyAlignment="1">
      <alignment horizontal="center" vertical="center"/>
    </xf>
    <xf numFmtId="164" fontId="15" fillId="6" borderId="46" xfId="2" applyFont="1" applyFill="1" applyBorder="1" applyAlignment="1">
      <alignment horizontal="left"/>
    </xf>
    <xf numFmtId="168" fontId="1" fillId="0" borderId="0" xfId="0" applyNumberFormat="1" applyFont="1"/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164" fontId="2" fillId="5" borderId="0" xfId="2" applyFont="1" applyFill="1" applyBorder="1" applyAlignment="1">
      <alignment horizontal="center" vertical="center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1" fillId="6" borderId="103" xfId="0" applyFont="1" applyFill="1" applyBorder="1" applyAlignment="1">
      <alignment horizontal="center"/>
    </xf>
    <xf numFmtId="0" fontId="1" fillId="6" borderId="104" xfId="0" applyFont="1" applyFill="1" applyBorder="1" applyAlignment="1">
      <alignment horizontal="center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2" fillId="5" borderId="72" xfId="0" applyFont="1" applyFill="1" applyBorder="1" applyAlignment="1">
      <alignment horizontal="center" vertical="center"/>
    </xf>
    <xf numFmtId="0" fontId="2" fillId="5" borderId="75" xfId="0" applyFont="1" applyFill="1" applyBorder="1" applyAlignment="1">
      <alignment horizontal="center" vertical="center"/>
    </xf>
    <xf numFmtId="0" fontId="2" fillId="5" borderId="59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164" fontId="2" fillId="5" borderId="61" xfId="2" applyFont="1" applyFill="1" applyBorder="1" applyAlignment="1">
      <alignment horizontal="center" vertical="center"/>
    </xf>
    <xf numFmtId="164" fontId="2" fillId="5" borderId="53" xfId="2" applyFont="1" applyFill="1" applyBorder="1" applyAlignment="1">
      <alignment horizontal="center" vertical="center"/>
    </xf>
    <xf numFmtId="0" fontId="2" fillId="5" borderId="62" xfId="0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80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50" fillId="8" borderId="0" xfId="0" applyFont="1" applyFill="1" applyAlignment="1">
      <alignment horizontal="center" vertical="center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6" xfId="2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/>
    </xf>
    <xf numFmtId="0" fontId="2" fillId="6" borderId="48" xfId="0" applyFont="1" applyFill="1" applyBorder="1" applyAlignment="1">
      <alignment horizontal="center"/>
    </xf>
    <xf numFmtId="0" fontId="9" fillId="5" borderId="72" xfId="0" applyFont="1" applyFill="1" applyBorder="1" applyAlignment="1">
      <alignment horizontal="center"/>
    </xf>
    <xf numFmtId="0" fontId="9" fillId="5" borderId="75" xfId="0" applyFont="1" applyFill="1" applyBorder="1" applyAlignment="1">
      <alignment horizontal="center"/>
    </xf>
    <xf numFmtId="0" fontId="9" fillId="5" borderId="59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164" fontId="9" fillId="5" borderId="61" xfId="2" applyFont="1" applyFill="1" applyBorder="1" applyAlignment="1">
      <alignment horizontal="center"/>
    </xf>
    <xf numFmtId="164" fontId="9" fillId="5" borderId="53" xfId="2" applyFont="1" applyFill="1" applyBorder="1" applyAlignment="1">
      <alignment horizontal="center"/>
    </xf>
    <xf numFmtId="0" fontId="9" fillId="5" borderId="62" xfId="0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80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30" fillId="6" borderId="49" xfId="2" applyFont="1" applyFill="1" applyBorder="1" applyAlignment="1">
      <alignment horizontal="center" wrapText="1"/>
    </xf>
    <xf numFmtId="164" fontId="30" fillId="6" borderId="41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/>
    </xf>
    <xf numFmtId="0" fontId="31" fillId="5" borderId="72" xfId="0" applyFont="1" applyFill="1" applyBorder="1" applyAlignment="1">
      <alignment horizontal="center" vertical="center"/>
    </xf>
    <xf numFmtId="0" fontId="31" fillId="5" borderId="75" xfId="0" applyFont="1" applyFill="1" applyBorder="1" applyAlignment="1">
      <alignment horizontal="center" vertical="center"/>
    </xf>
    <xf numFmtId="0" fontId="31" fillId="5" borderId="59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164" fontId="31" fillId="5" borderId="61" xfId="2" applyFont="1" applyFill="1" applyBorder="1" applyAlignment="1">
      <alignment horizontal="center" vertical="center"/>
    </xf>
    <xf numFmtId="164" fontId="31" fillId="5" borderId="53" xfId="2" applyFont="1" applyFill="1" applyBorder="1" applyAlignment="1">
      <alignment horizontal="center" vertical="center"/>
    </xf>
    <xf numFmtId="0" fontId="31" fillId="5" borderId="62" xfId="0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80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0" fontId="14" fillId="6" borderId="47" xfId="0" applyFont="1" applyFill="1" applyBorder="1" applyAlignment="1">
      <alignment horizontal="left"/>
    </xf>
    <xf numFmtId="0" fontId="14" fillId="6" borderId="46" xfId="0" applyFont="1" applyFill="1" applyBorder="1" applyAlignment="1">
      <alignment horizontal="left"/>
    </xf>
    <xf numFmtId="164" fontId="14" fillId="6" borderId="46" xfId="2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8" fontId="10" fillId="0" borderId="0" xfId="0" applyNumberFormat="1" applyFont="1"/>
    <xf numFmtId="0" fontId="10" fillId="0" borderId="0" xfId="0" applyFont="1"/>
    <xf numFmtId="164" fontId="14" fillId="6" borderId="46" xfId="2" applyFont="1" applyFill="1" applyBorder="1" applyAlignment="1">
      <alignment horizontal="center" vertical="center"/>
    </xf>
    <xf numFmtId="0" fontId="31" fillId="6" borderId="46" xfId="0" applyFont="1" applyFill="1" applyBorder="1" applyAlignment="1">
      <alignment horizontal="center"/>
    </xf>
    <xf numFmtId="0" fontId="31" fillId="6" borderId="48" xfId="0" applyFont="1" applyFill="1" applyBorder="1" applyAlignment="1">
      <alignment horizontal="center"/>
    </xf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6</xdr:row>
      <xdr:rowOff>107142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1208405</xdr:colOff>
      <xdr:row>6</xdr:row>
      <xdr:rowOff>139065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88194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1192389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1206500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106680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1206501</xdr:colOff>
      <xdr:row>6</xdr:row>
      <xdr:rowOff>68085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1150056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64275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1171658</xdr:colOff>
      <xdr:row>6</xdr:row>
      <xdr:rowOff>71590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1135945</xdr:colOff>
      <xdr:row>6</xdr:row>
      <xdr:rowOff>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1167977</xdr:colOff>
      <xdr:row>6</xdr:row>
      <xdr:rowOff>65404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1206500</xdr:colOff>
      <xdr:row>6</xdr:row>
      <xdr:rowOff>68085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1164167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1164167</xdr:colOff>
      <xdr:row>6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1150055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2578125" defaultRowHeight="12.75" x14ac:dyDescent="0.2"/>
  <cols>
    <col min="2" max="2" width="14" bestFit="1" customWidth="1"/>
    <col min="3" max="3" width="66.85546875" bestFit="1" customWidth="1"/>
    <col min="4" max="4" width="26.42578125" customWidth="1"/>
  </cols>
  <sheetData>
    <row r="1" spans="1:4" x14ac:dyDescent="0.2">
      <c r="A1" t="s">
        <v>151</v>
      </c>
      <c r="B1">
        <v>2</v>
      </c>
    </row>
    <row r="2" spans="1:4" ht="15.75" x14ac:dyDescent="0.25">
      <c r="B2" s="34" t="s">
        <v>684</v>
      </c>
      <c r="C2" s="35" t="s">
        <v>3</v>
      </c>
    </row>
    <row r="3" spans="1:4" ht="15" x14ac:dyDescent="0.2">
      <c r="B3" s="14" t="s">
        <v>101</v>
      </c>
      <c r="C3" s="36" t="s">
        <v>100</v>
      </c>
      <c r="D3" s="2">
        <f>'1'!K24</f>
        <v>52700</v>
      </c>
    </row>
    <row r="4" spans="1:4" ht="15" x14ac:dyDescent="0.2">
      <c r="B4" s="15" t="s">
        <v>102</v>
      </c>
      <c r="C4" s="37" t="s">
        <v>103</v>
      </c>
      <c r="D4" s="2">
        <f>'1'!K35</f>
        <v>57200</v>
      </c>
    </row>
    <row r="5" spans="1:4" ht="15" x14ac:dyDescent="0.2">
      <c r="B5" s="15" t="s">
        <v>104</v>
      </c>
      <c r="C5" s="37" t="s">
        <v>105</v>
      </c>
      <c r="D5" s="2">
        <f>'1'!K67</f>
        <v>2816.89</v>
      </c>
    </row>
    <row r="6" spans="1:4" ht="15" x14ac:dyDescent="0.2">
      <c r="B6" s="15" t="s">
        <v>143</v>
      </c>
      <c r="C6" s="37" t="s">
        <v>144</v>
      </c>
      <c r="D6" s="2">
        <f>'1'!K76</f>
        <v>0</v>
      </c>
    </row>
    <row r="7" spans="1:4" ht="15" x14ac:dyDescent="0.2">
      <c r="B7" s="15" t="s">
        <v>106</v>
      </c>
      <c r="C7" s="37" t="s">
        <v>107</v>
      </c>
      <c r="D7" s="2">
        <f>'1'!K87</f>
        <v>0</v>
      </c>
    </row>
    <row r="8" spans="1:4" ht="15" x14ac:dyDescent="0.2">
      <c r="B8" s="15" t="s">
        <v>109</v>
      </c>
      <c r="C8" s="37" t="s">
        <v>108</v>
      </c>
      <c r="D8" s="2">
        <f>'1'!K97</f>
        <v>2154.4402319999999</v>
      </c>
    </row>
    <row r="9" spans="1:4" ht="15" x14ac:dyDescent="0.2">
      <c r="B9" s="15" t="s">
        <v>110</v>
      </c>
      <c r="C9" s="37" t="s">
        <v>111</v>
      </c>
      <c r="D9" s="2">
        <f>'1'!K105</f>
        <v>1395.6286192000002</v>
      </c>
    </row>
    <row r="10" spans="1:4" ht="15" x14ac:dyDescent="0.2">
      <c r="B10" s="15" t="s">
        <v>112</v>
      </c>
      <c r="C10" s="37" t="s">
        <v>113</v>
      </c>
      <c r="D10" s="2">
        <f>'1'!K128</f>
        <v>3000</v>
      </c>
    </row>
    <row r="11" spans="1:4" ht="15" x14ac:dyDescent="0.2">
      <c r="B11" s="15" t="s">
        <v>114</v>
      </c>
      <c r="C11" s="37" t="s">
        <v>115</v>
      </c>
      <c r="D11" s="2">
        <f>'1'!K136</f>
        <v>5347</v>
      </c>
    </row>
    <row r="13" spans="1:4" x14ac:dyDescent="0.2">
      <c r="A13" t="s">
        <v>151</v>
      </c>
      <c r="B13">
        <v>2</v>
      </c>
    </row>
    <row r="15" spans="1:4" ht="15" x14ac:dyDescent="0.2">
      <c r="B15" s="3" t="s">
        <v>152</v>
      </c>
      <c r="C15" s="3" t="s">
        <v>154</v>
      </c>
    </row>
    <row r="16" spans="1:4" ht="15" x14ac:dyDescent="0.2">
      <c r="B16" s="4" t="s">
        <v>153</v>
      </c>
      <c r="C16" s="4" t="s">
        <v>76</v>
      </c>
      <c r="D16" s="2">
        <f>'2'!K26</f>
        <v>15786</v>
      </c>
    </row>
    <row r="17" spans="1:4" ht="15" x14ac:dyDescent="0.2">
      <c r="B17" s="4" t="s">
        <v>155</v>
      </c>
      <c r="C17" s="4" t="s">
        <v>156</v>
      </c>
      <c r="D17" s="2">
        <f>'2'!K37</f>
        <v>0</v>
      </c>
    </row>
    <row r="18" spans="1:4" ht="15" x14ac:dyDescent="0.2">
      <c r="B18" s="4" t="s">
        <v>157</v>
      </c>
      <c r="C18" s="4" t="s">
        <v>534</v>
      </c>
      <c r="D18" s="2">
        <f>'2'!K48</f>
        <v>1500</v>
      </c>
    </row>
    <row r="21" spans="1:4" x14ac:dyDescent="0.2">
      <c r="A21" t="s">
        <v>151</v>
      </c>
      <c r="B21">
        <v>3</v>
      </c>
    </row>
    <row r="22" spans="1:4" ht="15" x14ac:dyDescent="0.2">
      <c r="B22" s="3" t="s">
        <v>158</v>
      </c>
      <c r="C22" s="3" t="s">
        <v>4</v>
      </c>
    </row>
    <row r="23" spans="1:4" ht="15" x14ac:dyDescent="0.2">
      <c r="B23" s="4" t="s">
        <v>159</v>
      </c>
      <c r="C23" s="4" t="s">
        <v>160</v>
      </c>
      <c r="D23" s="2">
        <f>'3'!K26</f>
        <v>0</v>
      </c>
    </row>
    <row r="24" spans="1:4" ht="15" x14ac:dyDescent="0.2">
      <c r="B24" s="4" t="s">
        <v>162</v>
      </c>
      <c r="C24" s="4" t="s">
        <v>161</v>
      </c>
      <c r="D24" s="2">
        <f>'3'!K37</f>
        <v>0</v>
      </c>
    </row>
    <row r="25" spans="1:4" ht="15" x14ac:dyDescent="0.2">
      <c r="B25" s="4" t="s">
        <v>163</v>
      </c>
      <c r="C25" s="4" t="s">
        <v>167</v>
      </c>
      <c r="D25" s="2">
        <f>'3'!K46</f>
        <v>0</v>
      </c>
    </row>
    <row r="26" spans="1:4" ht="15" x14ac:dyDescent="0.2">
      <c r="B26" s="4" t="s">
        <v>164</v>
      </c>
      <c r="C26" s="4" t="s">
        <v>168</v>
      </c>
      <c r="D26" s="2">
        <f>'3'!K55</f>
        <v>0</v>
      </c>
    </row>
    <row r="27" spans="1:4" ht="15" x14ac:dyDescent="0.2">
      <c r="B27" s="4" t="s">
        <v>165</v>
      </c>
      <c r="C27" s="4" t="s">
        <v>169</v>
      </c>
      <c r="D27" s="2">
        <f>'3'!K66</f>
        <v>0</v>
      </c>
    </row>
    <row r="28" spans="1:4" ht="15" x14ac:dyDescent="0.2">
      <c r="B28" s="4" t="s">
        <v>166</v>
      </c>
      <c r="C28" s="4" t="s">
        <v>170</v>
      </c>
      <c r="D28" s="2">
        <f>'3'!K75</f>
        <v>0</v>
      </c>
    </row>
    <row r="31" spans="1:4" x14ac:dyDescent="0.2">
      <c r="A31" t="s">
        <v>151</v>
      </c>
      <c r="B31">
        <v>4</v>
      </c>
    </row>
    <row r="32" spans="1:4" ht="15" x14ac:dyDescent="0.2">
      <c r="B32" s="3" t="s">
        <v>171</v>
      </c>
      <c r="C32" s="3" t="s">
        <v>5</v>
      </c>
    </row>
    <row r="33" spans="1:4" ht="15" x14ac:dyDescent="0.2">
      <c r="B33" s="4" t="s">
        <v>172</v>
      </c>
      <c r="C33" s="4" t="s">
        <v>174</v>
      </c>
      <c r="D33" s="2">
        <f>'4'!K26</f>
        <v>0</v>
      </c>
    </row>
    <row r="34" spans="1:4" ht="15" x14ac:dyDescent="0.2">
      <c r="B34" s="4" t="s">
        <v>173</v>
      </c>
      <c r="C34" s="4" t="s">
        <v>175</v>
      </c>
      <c r="D34" s="2">
        <f>'4'!K37</f>
        <v>0</v>
      </c>
    </row>
    <row r="36" spans="1:4" x14ac:dyDescent="0.2">
      <c r="A36" t="s">
        <v>176</v>
      </c>
      <c r="B36">
        <v>5</v>
      </c>
    </row>
    <row r="37" spans="1:4" ht="15" x14ac:dyDescent="0.2">
      <c r="B37" s="3" t="s">
        <v>177</v>
      </c>
      <c r="C37" s="3" t="s">
        <v>6</v>
      </c>
    </row>
    <row r="38" spans="1:4" ht="15" x14ac:dyDescent="0.2">
      <c r="B38" s="4" t="s">
        <v>178</v>
      </c>
      <c r="C38" s="4" t="s">
        <v>184</v>
      </c>
      <c r="D38" s="2">
        <f>'5'!K26</f>
        <v>0</v>
      </c>
    </row>
    <row r="39" spans="1:4" ht="15" x14ac:dyDescent="0.2">
      <c r="B39" s="4" t="s">
        <v>179</v>
      </c>
      <c r="C39" s="4" t="s">
        <v>185</v>
      </c>
      <c r="D39" s="2">
        <f>'5'!K37</f>
        <v>0</v>
      </c>
    </row>
    <row r="40" spans="1:4" ht="15" x14ac:dyDescent="0.2">
      <c r="B40" s="4" t="s">
        <v>180</v>
      </c>
      <c r="C40" s="4" t="s">
        <v>186</v>
      </c>
      <c r="D40" s="2">
        <f>'5'!K45</f>
        <v>0</v>
      </c>
    </row>
    <row r="41" spans="1:4" ht="15" x14ac:dyDescent="0.2">
      <c r="B41" s="4" t="s">
        <v>181</v>
      </c>
      <c r="C41" s="4" t="s">
        <v>187</v>
      </c>
      <c r="D41" s="2">
        <f>'5'!K54</f>
        <v>0</v>
      </c>
    </row>
    <row r="42" spans="1:4" ht="15" x14ac:dyDescent="0.2">
      <c r="B42" s="4" t="s">
        <v>182</v>
      </c>
      <c r="C42" s="4" t="s">
        <v>188</v>
      </c>
      <c r="D42" s="2">
        <f>'5'!K65</f>
        <v>0</v>
      </c>
    </row>
    <row r="43" spans="1:4" ht="15" x14ac:dyDescent="0.2">
      <c r="B43" s="4" t="s">
        <v>183</v>
      </c>
      <c r="C43" s="4" t="s">
        <v>189</v>
      </c>
      <c r="D43" s="2">
        <f>'5'!K74</f>
        <v>0</v>
      </c>
    </row>
    <row r="46" spans="1:4" x14ac:dyDescent="0.2">
      <c r="A46" t="s">
        <v>176</v>
      </c>
      <c r="B46">
        <v>6</v>
      </c>
    </row>
    <row r="47" spans="1:4" ht="15" x14ac:dyDescent="0.2">
      <c r="B47" s="3" t="s">
        <v>190</v>
      </c>
      <c r="C47" s="3" t="s">
        <v>191</v>
      </c>
    </row>
    <row r="48" spans="1:4" ht="15" x14ac:dyDescent="0.2">
      <c r="B48" s="4" t="s">
        <v>798</v>
      </c>
      <c r="C48" s="4" t="s">
        <v>724</v>
      </c>
      <c r="D48" s="2">
        <f>'6'!K19</f>
        <v>1300</v>
      </c>
    </row>
    <row r="49" spans="1:4" ht="15" x14ac:dyDescent="0.2">
      <c r="B49" s="4" t="s">
        <v>192</v>
      </c>
      <c r="C49" s="4" t="s">
        <v>77</v>
      </c>
      <c r="D49" s="2">
        <f>'6'!K36</f>
        <v>1995.8000000000002</v>
      </c>
    </row>
    <row r="50" spans="1:4" ht="15" x14ac:dyDescent="0.2">
      <c r="B50" s="4" t="s">
        <v>193</v>
      </c>
      <c r="C50" s="4" t="s">
        <v>47</v>
      </c>
      <c r="D50" s="2">
        <f>'6'!K51</f>
        <v>180875</v>
      </c>
    </row>
    <row r="51" spans="1:4" ht="15" x14ac:dyDescent="0.2">
      <c r="B51" s="4" t="s">
        <v>194</v>
      </c>
      <c r="C51" s="4" t="s">
        <v>195</v>
      </c>
      <c r="D51" s="2">
        <f>'6'!K59</f>
        <v>0</v>
      </c>
    </row>
    <row r="52" spans="1:4" ht="15" x14ac:dyDescent="0.2">
      <c r="B52" s="4" t="s">
        <v>197</v>
      </c>
      <c r="C52" s="4" t="s">
        <v>196</v>
      </c>
      <c r="D52" s="2">
        <f>'6'!K68</f>
        <v>0</v>
      </c>
    </row>
    <row r="53" spans="1:4" ht="15" x14ac:dyDescent="0.2">
      <c r="B53" s="4" t="s">
        <v>198</v>
      </c>
      <c r="C53" s="4" t="s">
        <v>199</v>
      </c>
      <c r="D53" s="2">
        <f>'6'!K79</f>
        <v>0</v>
      </c>
    </row>
    <row r="54" spans="1:4" ht="15" x14ac:dyDescent="0.2">
      <c r="B54" s="4" t="s">
        <v>200</v>
      </c>
      <c r="C54" s="4" t="s">
        <v>201</v>
      </c>
      <c r="D54" s="2">
        <f>'6'!K88</f>
        <v>0</v>
      </c>
    </row>
    <row r="55" spans="1:4" ht="15" x14ac:dyDescent="0.2">
      <c r="B55" s="4" t="s">
        <v>203</v>
      </c>
      <c r="C55" s="4" t="s">
        <v>202</v>
      </c>
      <c r="D55" s="2">
        <f>'6'!K95</f>
        <v>0</v>
      </c>
    </row>
    <row r="58" spans="1:4" x14ac:dyDescent="0.2">
      <c r="A58" t="s">
        <v>176</v>
      </c>
      <c r="B58">
        <v>7</v>
      </c>
    </row>
    <row r="59" spans="1:4" ht="15" x14ac:dyDescent="0.2">
      <c r="B59" s="3" t="s">
        <v>204</v>
      </c>
      <c r="C59" s="3" t="s">
        <v>56</v>
      </c>
    </row>
    <row r="60" spans="1:4" ht="15" x14ac:dyDescent="0.2">
      <c r="B60" s="4" t="s">
        <v>205</v>
      </c>
      <c r="C60" s="4" t="s">
        <v>206</v>
      </c>
      <c r="D60" s="2">
        <f>'7'!K16</f>
        <v>0</v>
      </c>
    </row>
    <row r="61" spans="1:4" ht="15" x14ac:dyDescent="0.2">
      <c r="B61" s="4" t="s">
        <v>213</v>
      </c>
      <c r="C61" s="4" t="s">
        <v>214</v>
      </c>
      <c r="D61" s="2">
        <f>'7'!K22</f>
        <v>0</v>
      </c>
    </row>
    <row r="62" spans="1:4" ht="15" x14ac:dyDescent="0.2">
      <c r="B62" s="4" t="s">
        <v>215</v>
      </c>
      <c r="C62" s="4" t="s">
        <v>216</v>
      </c>
      <c r="D62" s="2">
        <f>'7'!K27</f>
        <v>0</v>
      </c>
    </row>
    <row r="63" spans="1:4" ht="15" x14ac:dyDescent="0.2">
      <c r="B63" s="4" t="s">
        <v>217</v>
      </c>
      <c r="C63" s="4" t="s">
        <v>218</v>
      </c>
      <c r="D63" s="2">
        <f>'7'!K33</f>
        <v>0</v>
      </c>
    </row>
    <row r="64" spans="1:4" ht="15" x14ac:dyDescent="0.2">
      <c r="B64" s="4" t="s">
        <v>219</v>
      </c>
      <c r="C64" s="4" t="s">
        <v>57</v>
      </c>
      <c r="D64" s="2">
        <f>'7'!K39</f>
        <v>0</v>
      </c>
    </row>
    <row r="65" spans="1:4" ht="15" x14ac:dyDescent="0.2">
      <c r="B65" s="4" t="s">
        <v>220</v>
      </c>
      <c r="C65" s="4" t="s">
        <v>221</v>
      </c>
      <c r="D65" s="2">
        <f>'7'!K45</f>
        <v>0</v>
      </c>
    </row>
    <row r="66" spans="1:4" ht="15" x14ac:dyDescent="0.2">
      <c r="B66" s="4" t="s">
        <v>222</v>
      </c>
      <c r="C66" s="4" t="s">
        <v>223</v>
      </c>
      <c r="D66" s="2">
        <f>'7'!K50</f>
        <v>0</v>
      </c>
    </row>
    <row r="67" spans="1:4" ht="15" x14ac:dyDescent="0.2">
      <c r="B67" s="4" t="s">
        <v>224</v>
      </c>
      <c r="C67" s="4" t="s">
        <v>225</v>
      </c>
      <c r="D67" s="2">
        <f>'7'!K55</f>
        <v>0</v>
      </c>
    </row>
    <row r="68" spans="1:4" ht="15" x14ac:dyDescent="0.2">
      <c r="B68" s="4" t="s">
        <v>228</v>
      </c>
      <c r="C68" s="4" t="s">
        <v>226</v>
      </c>
      <c r="D68" s="2">
        <f>'7'!K60</f>
        <v>0</v>
      </c>
    </row>
    <row r="69" spans="1:4" ht="15" x14ac:dyDescent="0.2">
      <c r="B69" s="4" t="s">
        <v>229</v>
      </c>
      <c r="C69" s="4" t="s">
        <v>227</v>
      </c>
      <c r="D69" s="2">
        <f>'7'!K66</f>
        <v>0</v>
      </c>
    </row>
    <row r="70" spans="1:4" ht="15" x14ac:dyDescent="0.2">
      <c r="B70" s="4" t="s">
        <v>230</v>
      </c>
      <c r="C70" s="4" t="s">
        <v>231</v>
      </c>
      <c r="D70" s="2">
        <f>'7'!K72</f>
        <v>0</v>
      </c>
    </row>
    <row r="71" spans="1:4" ht="15" x14ac:dyDescent="0.2">
      <c r="B71" s="4" t="s">
        <v>236</v>
      </c>
      <c r="C71" s="4" t="s">
        <v>237</v>
      </c>
      <c r="D71" s="2">
        <f>'7'!K78</f>
        <v>8446</v>
      </c>
    </row>
    <row r="72" spans="1:4" ht="15" x14ac:dyDescent="0.2">
      <c r="B72" s="4" t="s">
        <v>240</v>
      </c>
      <c r="C72" s="4" t="s">
        <v>241</v>
      </c>
      <c r="D72" s="2">
        <f>'7'!K84</f>
        <v>0</v>
      </c>
    </row>
    <row r="74" spans="1:4" x14ac:dyDescent="0.2">
      <c r="A74" t="s">
        <v>151</v>
      </c>
      <c r="B74">
        <v>8</v>
      </c>
    </row>
    <row r="75" spans="1:4" ht="15" x14ac:dyDescent="0.2">
      <c r="B75" s="3" t="s">
        <v>242</v>
      </c>
      <c r="C75" s="3" t="s">
        <v>243</v>
      </c>
    </row>
    <row r="76" spans="1:4" ht="15" x14ac:dyDescent="0.2">
      <c r="B76" s="4" t="s">
        <v>244</v>
      </c>
      <c r="C76" s="4" t="s">
        <v>245</v>
      </c>
      <c r="D76" s="2">
        <f>'8'!K18</f>
        <v>20485</v>
      </c>
    </row>
    <row r="77" spans="1:4" ht="15" x14ac:dyDescent="0.2">
      <c r="B77" s="4" t="s">
        <v>248</v>
      </c>
      <c r="C77" s="4" t="s">
        <v>249</v>
      </c>
      <c r="D77" s="2">
        <f>'8'!K24</f>
        <v>0</v>
      </c>
    </row>
    <row r="78" spans="1:4" ht="15" x14ac:dyDescent="0.2">
      <c r="B78" s="4" t="s">
        <v>250</v>
      </c>
      <c r="C78" s="4" t="s">
        <v>251</v>
      </c>
      <c r="D78" s="2">
        <f>'8'!K29</f>
        <v>0</v>
      </c>
    </row>
    <row r="79" spans="1:4" ht="15" x14ac:dyDescent="0.2">
      <c r="B79" s="4" t="s">
        <v>252</v>
      </c>
      <c r="C79" s="4" t="s">
        <v>253</v>
      </c>
      <c r="D79" s="2">
        <f>'8'!K35</f>
        <v>0</v>
      </c>
    </row>
    <row r="80" spans="1:4" ht="15" x14ac:dyDescent="0.2">
      <c r="B80" s="4" t="s">
        <v>254</v>
      </c>
      <c r="C80" s="4" t="s">
        <v>255</v>
      </c>
      <c r="D80" s="2">
        <f>'8'!K41</f>
        <v>0</v>
      </c>
    </row>
    <row r="81" spans="1:4" ht="15" x14ac:dyDescent="0.2">
      <c r="B81" s="4" t="s">
        <v>256</v>
      </c>
      <c r="C81" s="4" t="s">
        <v>257</v>
      </c>
      <c r="D81" s="2">
        <f>'8'!K47</f>
        <v>0</v>
      </c>
    </row>
    <row r="82" spans="1:4" ht="15" x14ac:dyDescent="0.2">
      <c r="B82" s="4" t="s">
        <v>258</v>
      </c>
      <c r="C82" s="4" t="s">
        <v>59</v>
      </c>
      <c r="D82" s="2">
        <f>'8'!K52</f>
        <v>0</v>
      </c>
    </row>
    <row r="83" spans="1:4" ht="15" x14ac:dyDescent="0.2">
      <c r="B83" s="4" t="s">
        <v>259</v>
      </c>
      <c r="C83" s="4" t="s">
        <v>46</v>
      </c>
      <c r="D83" s="2">
        <f>'8'!K57</f>
        <v>0</v>
      </c>
    </row>
    <row r="84" spans="1:4" ht="15" x14ac:dyDescent="0.2">
      <c r="B84" s="4" t="s">
        <v>260</v>
      </c>
      <c r="C84" s="4" t="s">
        <v>261</v>
      </c>
      <c r="D84" s="2">
        <f>'8'!K62</f>
        <v>0</v>
      </c>
    </row>
    <row r="85" spans="1:4" ht="15" x14ac:dyDescent="0.2">
      <c r="B85" s="4" t="s">
        <v>262</v>
      </c>
      <c r="C85" s="4" t="s">
        <v>93</v>
      </c>
      <c r="D85" s="2">
        <f>'8'!K69</f>
        <v>0</v>
      </c>
    </row>
    <row r="86" spans="1:4" ht="15" x14ac:dyDescent="0.2">
      <c r="B86" s="4" t="s">
        <v>270</v>
      </c>
      <c r="C86" s="4" t="s">
        <v>61</v>
      </c>
      <c r="D86" s="2">
        <f>'8'!K75</f>
        <v>0</v>
      </c>
    </row>
    <row r="87" spans="1:4" ht="15" x14ac:dyDescent="0.2">
      <c r="B87" s="4" t="s">
        <v>271</v>
      </c>
      <c r="C87" s="4" t="s">
        <v>272</v>
      </c>
      <c r="D87" s="2">
        <f>'8'!K81</f>
        <v>2225</v>
      </c>
    </row>
    <row r="88" spans="1:4" ht="15" x14ac:dyDescent="0.2">
      <c r="B88" s="4" t="s">
        <v>273</v>
      </c>
      <c r="C88" s="4" t="s">
        <v>274</v>
      </c>
      <c r="D88" s="2">
        <f>'8'!K87</f>
        <v>0</v>
      </c>
    </row>
    <row r="89" spans="1:4" ht="15" x14ac:dyDescent="0.2">
      <c r="B89" s="4" t="s">
        <v>275</v>
      </c>
      <c r="C89" s="4" t="s">
        <v>276</v>
      </c>
      <c r="D89" s="2">
        <f>'8'!K93</f>
        <v>0</v>
      </c>
    </row>
    <row r="90" spans="1:4" ht="15" x14ac:dyDescent="0.2">
      <c r="B90" s="4" t="s">
        <v>277</v>
      </c>
      <c r="C90" s="4" t="s">
        <v>278</v>
      </c>
      <c r="D90" s="2">
        <f>'8'!K99</f>
        <v>0</v>
      </c>
    </row>
    <row r="92" spans="1:4" x14ac:dyDescent="0.2">
      <c r="A92" t="s">
        <v>176</v>
      </c>
      <c r="B92">
        <v>9</v>
      </c>
    </row>
    <row r="93" spans="1:4" ht="15" x14ac:dyDescent="0.2">
      <c r="B93" s="3" t="s">
        <v>279</v>
      </c>
      <c r="C93" s="3" t="s">
        <v>8</v>
      </c>
    </row>
    <row r="94" spans="1:4" ht="15" x14ac:dyDescent="0.2">
      <c r="B94" s="4" t="s">
        <v>280</v>
      </c>
      <c r="C94" s="4" t="s">
        <v>281</v>
      </c>
      <c r="D94" s="2">
        <f>'9'!K18</f>
        <v>61750</v>
      </c>
    </row>
    <row r="95" spans="1:4" ht="15" x14ac:dyDescent="0.2">
      <c r="B95" s="4" t="s">
        <v>282</v>
      </c>
      <c r="C95" s="4" t="s">
        <v>283</v>
      </c>
      <c r="D95" s="2">
        <f>'9'!K26</f>
        <v>0</v>
      </c>
    </row>
    <row r="96" spans="1:4" ht="15" x14ac:dyDescent="0.2">
      <c r="B96" s="4" t="s">
        <v>284</v>
      </c>
      <c r="C96" s="4" t="s">
        <v>285</v>
      </c>
      <c r="D96" s="2">
        <f>'9'!K32</f>
        <v>0</v>
      </c>
    </row>
    <row r="97" spans="1:4" ht="15" x14ac:dyDescent="0.2">
      <c r="B97" s="4" t="s">
        <v>286</v>
      </c>
      <c r="C97" s="4" t="s">
        <v>78</v>
      </c>
      <c r="D97" s="2">
        <f>'9'!K47</f>
        <v>26169</v>
      </c>
    </row>
    <row r="98" spans="1:4" ht="15" x14ac:dyDescent="0.2">
      <c r="B98" s="4" t="s">
        <v>294</v>
      </c>
      <c r="C98" s="4" t="s">
        <v>65</v>
      </c>
      <c r="D98" s="2">
        <f>'9'!K53</f>
        <v>0</v>
      </c>
    </row>
    <row r="99" spans="1:4" ht="15" x14ac:dyDescent="0.2">
      <c r="B99" s="4" t="s">
        <v>295</v>
      </c>
      <c r="C99" s="4" t="s">
        <v>79</v>
      </c>
      <c r="D99" s="2">
        <f>'9'!K62</f>
        <v>12192.44</v>
      </c>
    </row>
    <row r="102" spans="1:4" x14ac:dyDescent="0.2">
      <c r="A102" t="s">
        <v>151</v>
      </c>
      <c r="B102">
        <v>10</v>
      </c>
    </row>
    <row r="103" spans="1:4" ht="15" x14ac:dyDescent="0.2">
      <c r="B103" s="3" t="s">
        <v>298</v>
      </c>
      <c r="C103" s="3" t="s">
        <v>9</v>
      </c>
    </row>
    <row r="104" spans="1:4" ht="15" x14ac:dyDescent="0.2">
      <c r="B104" s="4" t="s">
        <v>299</v>
      </c>
      <c r="C104" s="4" t="s">
        <v>300</v>
      </c>
      <c r="D104" s="2">
        <f>'10'!K17</f>
        <v>0</v>
      </c>
    </row>
    <row r="105" spans="1:4" ht="15" x14ac:dyDescent="0.2">
      <c r="B105" s="4" t="s">
        <v>301</v>
      </c>
      <c r="C105" s="4" t="s">
        <v>302</v>
      </c>
      <c r="D105" s="2">
        <f>'10'!K25</f>
        <v>0</v>
      </c>
    </row>
    <row r="106" spans="1:4" ht="15" x14ac:dyDescent="0.2">
      <c r="B106" s="4" t="s">
        <v>303</v>
      </c>
      <c r="C106" s="4" t="s">
        <v>304</v>
      </c>
      <c r="D106" s="2">
        <f>'10'!K38</f>
        <v>11690</v>
      </c>
    </row>
    <row r="107" spans="1:4" ht="15" x14ac:dyDescent="0.2">
      <c r="B107" s="4" t="s">
        <v>312</v>
      </c>
      <c r="C107" s="4" t="s">
        <v>313</v>
      </c>
      <c r="D107" s="2">
        <f>'10'!K44</f>
        <v>0</v>
      </c>
    </row>
    <row r="108" spans="1:4" ht="15" x14ac:dyDescent="0.2">
      <c r="B108" s="4" t="s">
        <v>315</v>
      </c>
      <c r="C108" s="4" t="s">
        <v>66</v>
      </c>
      <c r="D108" s="2">
        <f>'10'!K51</f>
        <v>0</v>
      </c>
    </row>
    <row r="109" spans="1:4" ht="15" x14ac:dyDescent="0.2">
      <c r="B109" s="4" t="s">
        <v>316</v>
      </c>
      <c r="C109" s="4" t="s">
        <v>317</v>
      </c>
      <c r="D109" s="2">
        <f>'10'!K57</f>
        <v>0</v>
      </c>
    </row>
    <row r="110" spans="1:4" ht="15" x14ac:dyDescent="0.2">
      <c r="B110" s="4" t="s">
        <v>318</v>
      </c>
      <c r="C110" s="4" t="s">
        <v>319</v>
      </c>
      <c r="D110" s="2">
        <f>'10'!K63</f>
        <v>0</v>
      </c>
    </row>
    <row r="112" spans="1:4" x14ac:dyDescent="0.2">
      <c r="A112" t="s">
        <v>176</v>
      </c>
      <c r="B112">
        <v>11</v>
      </c>
    </row>
    <row r="113" spans="1:4" ht="15" x14ac:dyDescent="0.2">
      <c r="B113" s="3" t="s">
        <v>326</v>
      </c>
      <c r="C113" s="3" t="s">
        <v>69</v>
      </c>
    </row>
    <row r="114" spans="1:4" ht="15" x14ac:dyDescent="0.2">
      <c r="B114" s="4" t="s">
        <v>327</v>
      </c>
      <c r="C114" s="4" t="s">
        <v>328</v>
      </c>
      <c r="D114" s="2">
        <f>'11'!K24</f>
        <v>0</v>
      </c>
    </row>
    <row r="115" spans="1:4" ht="15" x14ac:dyDescent="0.2">
      <c r="B115" s="4" t="s">
        <v>329</v>
      </c>
      <c r="C115" s="4" t="s">
        <v>330</v>
      </c>
      <c r="D115" s="2">
        <f>'11'!K35</f>
        <v>0</v>
      </c>
    </row>
    <row r="116" spans="1:4" ht="15" x14ac:dyDescent="0.2">
      <c r="B116" s="4" t="s">
        <v>331</v>
      </c>
      <c r="C116" s="4" t="s">
        <v>332</v>
      </c>
      <c r="D116" s="2">
        <f>'11'!K43</f>
        <v>0</v>
      </c>
    </row>
    <row r="117" spans="1:4" ht="15" x14ac:dyDescent="0.2">
      <c r="B117" s="4" t="s">
        <v>335</v>
      </c>
      <c r="C117" s="4" t="s">
        <v>336</v>
      </c>
      <c r="D117" s="2">
        <f>'11'!K52</f>
        <v>0</v>
      </c>
    </row>
    <row r="118" spans="1:4" ht="15" x14ac:dyDescent="0.2">
      <c r="B118" s="4" t="s">
        <v>339</v>
      </c>
      <c r="C118" s="4" t="s">
        <v>340</v>
      </c>
      <c r="D118" s="2">
        <f>'11'!K63</f>
        <v>0</v>
      </c>
    </row>
    <row r="119" spans="1:4" ht="15" x14ac:dyDescent="0.2">
      <c r="B119" s="4" t="s">
        <v>343</v>
      </c>
      <c r="C119" s="4" t="s">
        <v>344</v>
      </c>
      <c r="D119" s="2">
        <f>'11'!K72</f>
        <v>0</v>
      </c>
    </row>
    <row r="120" spans="1:4" ht="15" x14ac:dyDescent="0.2">
      <c r="B120" s="4" t="s">
        <v>345</v>
      </c>
      <c r="C120" s="4" t="s">
        <v>346</v>
      </c>
      <c r="D120" s="2">
        <f>'11'!K79</f>
        <v>0</v>
      </c>
    </row>
    <row r="123" spans="1:4" x14ac:dyDescent="0.2">
      <c r="A123" t="s">
        <v>176</v>
      </c>
      <c r="B123">
        <v>12</v>
      </c>
    </row>
    <row r="124" spans="1:4" ht="15" x14ac:dyDescent="0.2">
      <c r="B124" s="3" t="s">
        <v>347</v>
      </c>
      <c r="C124" s="3" t="s">
        <v>74</v>
      </c>
    </row>
    <row r="125" spans="1:4" ht="15" x14ac:dyDescent="0.2">
      <c r="B125" s="4" t="s">
        <v>348</v>
      </c>
      <c r="C125" s="4" t="s">
        <v>349</v>
      </c>
      <c r="D125" s="2">
        <f>'12'!K24</f>
        <v>0</v>
      </c>
    </row>
    <row r="126" spans="1:4" ht="15" x14ac:dyDescent="0.2">
      <c r="B126" s="4" t="s">
        <v>350</v>
      </c>
      <c r="C126" s="4" t="s">
        <v>351</v>
      </c>
      <c r="D126" s="2">
        <f>'12'!K35</f>
        <v>0</v>
      </c>
    </row>
    <row r="127" spans="1:4" ht="15" x14ac:dyDescent="0.2">
      <c r="B127" s="4" t="s">
        <v>352</v>
      </c>
      <c r="C127" s="4" t="s">
        <v>353</v>
      </c>
      <c r="D127" s="2">
        <f>'12'!K43</f>
        <v>0</v>
      </c>
    </row>
    <row r="128" spans="1:4" ht="15" x14ac:dyDescent="0.2">
      <c r="B128" s="4" t="s">
        <v>354</v>
      </c>
      <c r="C128" s="4" t="s">
        <v>356</v>
      </c>
      <c r="D128" s="2">
        <f>'12'!K52</f>
        <v>0</v>
      </c>
    </row>
    <row r="129" spans="1:4" ht="15" x14ac:dyDescent="0.2">
      <c r="B129" s="4" t="s">
        <v>355</v>
      </c>
      <c r="C129" s="4" t="s">
        <v>357</v>
      </c>
      <c r="D129" s="2">
        <f>'12'!K63</f>
        <v>0</v>
      </c>
    </row>
    <row r="130" spans="1:4" ht="15" x14ac:dyDescent="0.2">
      <c r="B130" s="4" t="s">
        <v>359</v>
      </c>
      <c r="C130" s="4" t="s">
        <v>358</v>
      </c>
      <c r="D130" s="2">
        <f>'12'!K72</f>
        <v>0</v>
      </c>
    </row>
    <row r="132" spans="1:4" x14ac:dyDescent="0.2">
      <c r="A132" t="s">
        <v>176</v>
      </c>
      <c r="B132">
        <v>13</v>
      </c>
    </row>
    <row r="133" spans="1:4" ht="15" x14ac:dyDescent="0.2">
      <c r="B133" s="3" t="s">
        <v>360</v>
      </c>
      <c r="C133" s="3" t="s">
        <v>75</v>
      </c>
    </row>
    <row r="136" spans="1:4" x14ac:dyDescent="0.2">
      <c r="A136" t="s">
        <v>176</v>
      </c>
      <c r="B136">
        <v>14</v>
      </c>
    </row>
    <row r="137" spans="1:4" ht="15" x14ac:dyDescent="0.2">
      <c r="B137" s="3" t="s">
        <v>361</v>
      </c>
      <c r="C137" s="3" t="s">
        <v>362</v>
      </c>
    </row>
    <row r="138" spans="1:4" ht="15" x14ac:dyDescent="0.2">
      <c r="B138" s="4" t="s">
        <v>363</v>
      </c>
      <c r="C138" s="4" t="s">
        <v>67</v>
      </c>
      <c r="D138" s="2">
        <f>'14'!K24</f>
        <v>0</v>
      </c>
    </row>
    <row r="139" spans="1:4" ht="15" x14ac:dyDescent="0.2">
      <c r="B139" s="4" t="s">
        <v>364</v>
      </c>
      <c r="C139" s="4" t="s">
        <v>68</v>
      </c>
      <c r="D139" s="2">
        <f>'14'!K35</f>
        <v>0</v>
      </c>
    </row>
    <row r="140" spans="1:4" ht="15" x14ac:dyDescent="0.2">
      <c r="B140" s="4" t="s">
        <v>366</v>
      </c>
      <c r="C140" s="4" t="s">
        <v>365</v>
      </c>
      <c r="D140" s="2">
        <f>'14'!K43</f>
        <v>0</v>
      </c>
    </row>
    <row r="142" spans="1:4" x14ac:dyDescent="0.2">
      <c r="A142" t="s">
        <v>176</v>
      </c>
      <c r="B142">
        <v>21</v>
      </c>
    </row>
    <row r="143" spans="1:4" ht="15" x14ac:dyDescent="0.2">
      <c r="B143" s="3" t="s">
        <v>367</v>
      </c>
      <c r="C143" s="3" t="s">
        <v>150</v>
      </c>
    </row>
    <row r="144" spans="1:4" ht="15" x14ac:dyDescent="0.2">
      <c r="B144" s="4" t="s">
        <v>368</v>
      </c>
      <c r="C144" s="4" t="s">
        <v>369</v>
      </c>
      <c r="D144" s="2">
        <f>'21'!K24</f>
        <v>6938</v>
      </c>
    </row>
    <row r="147" spans="1:4" x14ac:dyDescent="0.2">
      <c r="A147" t="s">
        <v>176</v>
      </c>
      <c r="B147">
        <v>22</v>
      </c>
    </row>
    <row r="148" spans="1:4" ht="15" x14ac:dyDescent="0.2">
      <c r="B148" s="3" t="s">
        <v>370</v>
      </c>
      <c r="C148" s="3" t="s">
        <v>41</v>
      </c>
    </row>
    <row r="149" spans="1:4" ht="15" x14ac:dyDescent="0.2">
      <c r="B149" s="4" t="s">
        <v>371</v>
      </c>
      <c r="C149" s="4" t="s">
        <v>372</v>
      </c>
      <c r="D149" s="2">
        <f>'22'!K24</f>
        <v>129800</v>
      </c>
    </row>
    <row r="150" spans="1:4" ht="15" x14ac:dyDescent="0.2">
      <c r="B150" s="4" t="s">
        <v>373</v>
      </c>
      <c r="C150" s="4" t="s">
        <v>374</v>
      </c>
      <c r="D150" s="2">
        <f>'22'!K35</f>
        <v>0</v>
      </c>
    </row>
    <row r="151" spans="1:4" ht="15" x14ac:dyDescent="0.2">
      <c r="B151" s="4" t="s">
        <v>379</v>
      </c>
      <c r="C151" s="4" t="s">
        <v>380</v>
      </c>
      <c r="D151" s="2">
        <f>'22'!K46</f>
        <v>0</v>
      </c>
    </row>
    <row r="152" spans="1:4" ht="15" x14ac:dyDescent="0.2">
      <c r="B152" s="4" t="s">
        <v>381</v>
      </c>
      <c r="C152" s="4" t="s">
        <v>382</v>
      </c>
      <c r="D152" s="2">
        <f>'22'!K67</f>
        <v>0</v>
      </c>
    </row>
    <row r="153" spans="1:4" ht="15" x14ac:dyDescent="0.2">
      <c r="B153" s="4" t="s">
        <v>410</v>
      </c>
      <c r="C153" s="4" t="s">
        <v>411</v>
      </c>
      <c r="D153" s="2">
        <f>'22'!K74</f>
        <v>0</v>
      </c>
    </row>
    <row r="154" spans="1:4" ht="15" x14ac:dyDescent="0.2">
      <c r="B154" s="4" t="s">
        <v>416</v>
      </c>
      <c r="C154" s="4" t="s">
        <v>417</v>
      </c>
      <c r="D154" s="2">
        <f>'22'!K83</f>
        <v>0</v>
      </c>
    </row>
    <row r="157" spans="1:4" x14ac:dyDescent="0.2">
      <c r="A157" t="s">
        <v>176</v>
      </c>
      <c r="B157">
        <v>23</v>
      </c>
    </row>
    <row r="158" spans="1:4" ht="15" x14ac:dyDescent="0.2">
      <c r="B158" s="3" t="s">
        <v>418</v>
      </c>
      <c r="C158" s="3" t="s">
        <v>419</v>
      </c>
    </row>
    <row r="159" spans="1:4" ht="15" x14ac:dyDescent="0.2">
      <c r="B159" s="4" t="s">
        <v>420</v>
      </c>
      <c r="C159" s="4" t="s">
        <v>421</v>
      </c>
      <c r="D159" s="2">
        <f>'23'!K18</f>
        <v>37030</v>
      </c>
    </row>
    <row r="160" spans="1:4" ht="15" x14ac:dyDescent="0.2">
      <c r="B160" s="4" t="s">
        <v>422</v>
      </c>
      <c r="C160" s="4" t="s">
        <v>423</v>
      </c>
      <c r="D160" s="2">
        <f>'23'!K25</f>
        <v>0</v>
      </c>
    </row>
    <row r="161" spans="1:4" ht="15" x14ac:dyDescent="0.2">
      <c r="B161" s="4" t="s">
        <v>424</v>
      </c>
      <c r="C161" s="4" t="s">
        <v>425</v>
      </c>
      <c r="D161" s="2">
        <f>'23'!K31</f>
        <v>0</v>
      </c>
    </row>
    <row r="162" spans="1:4" ht="15" x14ac:dyDescent="0.2">
      <c r="B162" s="4" t="s">
        <v>426</v>
      </c>
      <c r="C162" s="4" t="s">
        <v>427</v>
      </c>
      <c r="D162" s="2">
        <f>'23'!K38</f>
        <v>0</v>
      </c>
    </row>
    <row r="163" spans="1:4" ht="15" x14ac:dyDescent="0.2">
      <c r="B163" s="4" t="s">
        <v>430</v>
      </c>
      <c r="C163" s="4" t="s">
        <v>431</v>
      </c>
      <c r="D163" s="2">
        <f>'23'!K46</f>
        <v>0</v>
      </c>
    </row>
    <row r="164" spans="1:4" ht="15" x14ac:dyDescent="0.2">
      <c r="B164" s="4" t="s">
        <v>432</v>
      </c>
      <c r="C164" s="4" t="s">
        <v>433</v>
      </c>
      <c r="D164" s="2">
        <f>'23'!K53</f>
        <v>0</v>
      </c>
    </row>
    <row r="165" spans="1:4" ht="15" x14ac:dyDescent="0.2">
      <c r="B165" s="4" t="s">
        <v>434</v>
      </c>
      <c r="C165" s="4" t="s">
        <v>435</v>
      </c>
      <c r="D165" s="2">
        <f>'23'!K58</f>
        <v>0</v>
      </c>
    </row>
    <row r="166" spans="1:4" ht="15" x14ac:dyDescent="0.2">
      <c r="B166" s="4" t="s">
        <v>436</v>
      </c>
      <c r="C166" s="4" t="s">
        <v>437</v>
      </c>
      <c r="D166" s="2">
        <f>'23'!K73</f>
        <v>0</v>
      </c>
    </row>
    <row r="167" spans="1:4" ht="15" x14ac:dyDescent="0.2">
      <c r="B167" s="4" t="s">
        <v>454</v>
      </c>
      <c r="C167" s="4" t="s">
        <v>455</v>
      </c>
      <c r="D167" s="2">
        <f>'23'!K79</f>
        <v>0</v>
      </c>
    </row>
    <row r="168" spans="1:4" ht="15" x14ac:dyDescent="0.2">
      <c r="B168" s="4" t="s">
        <v>458</v>
      </c>
      <c r="C168" s="4" t="s">
        <v>459</v>
      </c>
      <c r="D168" s="2">
        <f>'23'!K91</f>
        <v>0</v>
      </c>
    </row>
    <row r="171" spans="1:4" x14ac:dyDescent="0.2">
      <c r="A171" t="s">
        <v>151</v>
      </c>
      <c r="B171">
        <v>25</v>
      </c>
    </row>
    <row r="172" spans="1:4" ht="15" x14ac:dyDescent="0.2">
      <c r="B172" s="3" t="s">
        <v>462</v>
      </c>
      <c r="C172" s="3" t="s">
        <v>463</v>
      </c>
    </row>
    <row r="175" spans="1:4" x14ac:dyDescent="0.2">
      <c r="A175" t="s">
        <v>176</v>
      </c>
      <c r="B175">
        <v>26</v>
      </c>
    </row>
    <row r="176" spans="1:4" ht="15" x14ac:dyDescent="0.2">
      <c r="B176" s="3" t="s">
        <v>464</v>
      </c>
      <c r="C176" s="3" t="s">
        <v>10</v>
      </c>
    </row>
    <row r="177" spans="1:16" ht="15" x14ac:dyDescent="0.2">
      <c r="B177" s="4" t="s">
        <v>465</v>
      </c>
      <c r="C177" s="4" t="s">
        <v>466</v>
      </c>
      <c r="D177" s="2">
        <f>'26'!K26</f>
        <v>80800</v>
      </c>
    </row>
    <row r="178" spans="1:16" ht="15" x14ac:dyDescent="0.2">
      <c r="B178" s="4" t="s">
        <v>467</v>
      </c>
      <c r="C178" s="4" t="s">
        <v>468</v>
      </c>
      <c r="D178" s="2">
        <f>'26'!K37</f>
        <v>0</v>
      </c>
    </row>
    <row r="179" spans="1:16" ht="15" x14ac:dyDescent="0.2">
      <c r="B179" s="4" t="s">
        <v>479</v>
      </c>
      <c r="C179" s="4" t="s">
        <v>80</v>
      </c>
      <c r="D179" s="2">
        <f>'26'!K45</f>
        <v>0</v>
      </c>
    </row>
    <row r="181" spans="1:16" x14ac:dyDescent="0.2">
      <c r="O181" s="8"/>
      <c r="P181" s="5"/>
    </row>
    <row r="182" spans="1:16" ht="15" x14ac:dyDescent="0.2">
      <c r="A182" t="s">
        <v>176</v>
      </c>
      <c r="B182">
        <v>27</v>
      </c>
      <c r="C182" s="3"/>
      <c r="O182" s="8"/>
      <c r="P182" s="5"/>
    </row>
    <row r="183" spans="1:16" ht="15" x14ac:dyDescent="0.2">
      <c r="B183" s="3" t="s">
        <v>486</v>
      </c>
      <c r="C183" s="3" t="s">
        <v>487</v>
      </c>
      <c r="O183" s="8"/>
      <c r="P183" s="5"/>
    </row>
    <row r="184" spans="1:16" ht="15" x14ac:dyDescent="0.2">
      <c r="B184" s="4" t="s">
        <v>488</v>
      </c>
      <c r="C184" s="4" t="s">
        <v>489</v>
      </c>
      <c r="D184" s="2">
        <f>'27'!K24</f>
        <v>0</v>
      </c>
      <c r="O184" s="8"/>
      <c r="P184" s="5"/>
    </row>
    <row r="185" spans="1:16" ht="15" x14ac:dyDescent="0.2">
      <c r="B185" s="4" t="s">
        <v>490</v>
      </c>
      <c r="C185" s="4" t="s">
        <v>491</v>
      </c>
      <c r="D185" s="2">
        <f>'27'!K35</f>
        <v>0</v>
      </c>
      <c r="O185" s="8"/>
      <c r="P185" s="6"/>
    </row>
    <row r="186" spans="1:16" ht="15" x14ac:dyDescent="0.2">
      <c r="B186" s="4" t="s">
        <v>496</v>
      </c>
      <c r="C186" s="4" t="s">
        <v>497</v>
      </c>
      <c r="D186" s="2">
        <f>'27'!K43</f>
        <v>0</v>
      </c>
      <c r="O186" s="9"/>
      <c r="P186" s="5"/>
    </row>
    <row r="187" spans="1:16" ht="15" x14ac:dyDescent="0.2">
      <c r="B187" s="4" t="s">
        <v>498</v>
      </c>
      <c r="C187" s="4" t="s">
        <v>499</v>
      </c>
      <c r="D187" s="2">
        <f>'27'!K52</f>
        <v>0</v>
      </c>
      <c r="O187" s="9"/>
      <c r="P187" s="5"/>
    </row>
    <row r="188" spans="1:16" ht="15" x14ac:dyDescent="0.2">
      <c r="B188" s="4" t="s">
        <v>500</v>
      </c>
      <c r="C188" s="4" t="s">
        <v>501</v>
      </c>
      <c r="D188" s="2">
        <f>'27'!K63</f>
        <v>0</v>
      </c>
      <c r="O188" s="9"/>
      <c r="P188" s="5"/>
    </row>
    <row r="189" spans="1:16" x14ac:dyDescent="0.2">
      <c r="O189" s="9"/>
      <c r="P189" s="5"/>
    </row>
    <row r="190" spans="1:16" x14ac:dyDescent="0.2">
      <c r="O190" s="9"/>
      <c r="P190" s="5"/>
    </row>
    <row r="191" spans="1:16" x14ac:dyDescent="0.2">
      <c r="A191" t="s">
        <v>151</v>
      </c>
      <c r="B191">
        <v>28</v>
      </c>
      <c r="O191" s="10"/>
      <c r="P191" s="7"/>
    </row>
    <row r="192" spans="1:16" ht="15" x14ac:dyDescent="0.2">
      <c r="B192" s="3" t="s">
        <v>502</v>
      </c>
      <c r="C192" s="3" t="s">
        <v>503</v>
      </c>
      <c r="O192" s="10"/>
      <c r="P192" s="7"/>
    </row>
    <row r="193" spans="1:16" ht="15" x14ac:dyDescent="0.2">
      <c r="B193" s="4" t="s">
        <v>504</v>
      </c>
      <c r="C193" s="4" t="s">
        <v>505</v>
      </c>
      <c r="D193" s="2">
        <f>'28'!K24</f>
        <v>0</v>
      </c>
      <c r="O193" s="11"/>
      <c r="P193" s="11"/>
    </row>
    <row r="194" spans="1:16" ht="15" x14ac:dyDescent="0.2">
      <c r="B194" s="4" t="s">
        <v>508</v>
      </c>
      <c r="C194" s="4" t="s">
        <v>509</v>
      </c>
      <c r="D194" s="2">
        <f>'28'!K35</f>
        <v>0</v>
      </c>
    </row>
    <row r="195" spans="1:16" ht="15" x14ac:dyDescent="0.2">
      <c r="B195" s="4" t="s">
        <v>510</v>
      </c>
      <c r="C195" s="4" t="s">
        <v>511</v>
      </c>
      <c r="D195" s="2">
        <f>'28'!K43</f>
        <v>0</v>
      </c>
    </row>
    <row r="196" spans="1:16" ht="15" x14ac:dyDescent="0.2">
      <c r="B196" s="4" t="s">
        <v>512</v>
      </c>
      <c r="C196" s="4" t="s">
        <v>514</v>
      </c>
      <c r="D196" s="2">
        <f>'28'!K52</f>
        <v>0</v>
      </c>
      <c r="O196" s="8"/>
      <c r="P196" s="5"/>
    </row>
    <row r="197" spans="1:16" x14ac:dyDescent="0.2">
      <c r="O197" s="8"/>
      <c r="P197" s="5"/>
    </row>
    <row r="198" spans="1:16" x14ac:dyDescent="0.2">
      <c r="A198" t="s">
        <v>151</v>
      </c>
      <c r="B198">
        <v>31</v>
      </c>
      <c r="O198" s="8"/>
      <c r="P198" s="5"/>
    </row>
    <row r="199" spans="1:16" ht="15" x14ac:dyDescent="0.2">
      <c r="B199" s="3" t="s">
        <v>516</v>
      </c>
      <c r="C199" s="3" t="s">
        <v>517</v>
      </c>
      <c r="O199" s="8"/>
      <c r="P199" s="5"/>
    </row>
    <row r="200" spans="1:16" ht="15" x14ac:dyDescent="0.2">
      <c r="B200" s="4" t="s">
        <v>518</v>
      </c>
      <c r="C200" s="4" t="s">
        <v>519</v>
      </c>
      <c r="D200" s="2">
        <f>'31'!K26</f>
        <v>0</v>
      </c>
      <c r="O200" s="10"/>
      <c r="P200" s="5"/>
    </row>
    <row r="201" spans="1:16" ht="15" x14ac:dyDescent="0.2">
      <c r="B201" s="4" t="s">
        <v>522</v>
      </c>
      <c r="C201" s="4" t="s">
        <v>523</v>
      </c>
      <c r="D201" s="2">
        <f>'31'!K49</f>
        <v>0</v>
      </c>
    </row>
    <row r="202" spans="1:16" ht="15" x14ac:dyDescent="0.2">
      <c r="B202" s="4" t="s">
        <v>558</v>
      </c>
      <c r="C202" s="4" t="s">
        <v>557</v>
      </c>
      <c r="D202" s="2">
        <f>'31'!K57</f>
        <v>0</v>
      </c>
    </row>
    <row r="203" spans="1:16" ht="15" x14ac:dyDescent="0.2">
      <c r="B203" s="4" t="s">
        <v>559</v>
      </c>
      <c r="C203" s="4" t="s">
        <v>560</v>
      </c>
      <c r="D203" s="2">
        <f>'31'!K66</f>
        <v>0</v>
      </c>
    </row>
    <row r="206" spans="1:16" x14ac:dyDescent="0.2">
      <c r="A206" t="s">
        <v>176</v>
      </c>
      <c r="B206">
        <v>32</v>
      </c>
    </row>
    <row r="207" spans="1:16" ht="15" x14ac:dyDescent="0.2">
      <c r="B207" s="3" t="s">
        <v>561</v>
      </c>
      <c r="C207" s="3" t="s">
        <v>562</v>
      </c>
    </row>
    <row r="208" spans="1:16" ht="15" x14ac:dyDescent="0.2">
      <c r="B208" s="4" t="s">
        <v>563</v>
      </c>
      <c r="C208" s="4" t="s">
        <v>564</v>
      </c>
      <c r="D208" s="2">
        <f>'32'!K21</f>
        <v>0</v>
      </c>
    </row>
    <row r="209" spans="1:4" ht="15" x14ac:dyDescent="0.2">
      <c r="B209" s="4" t="s">
        <v>571</v>
      </c>
      <c r="C209" s="4" t="s">
        <v>572</v>
      </c>
      <c r="D209" s="2">
        <f>'32'!K33</f>
        <v>0</v>
      </c>
    </row>
    <row r="210" spans="1:4" ht="15" x14ac:dyDescent="0.2">
      <c r="B210" s="4" t="s">
        <v>588</v>
      </c>
      <c r="C210" s="4" t="s">
        <v>589</v>
      </c>
      <c r="D210" s="2">
        <f>'32'!K41</f>
        <v>0</v>
      </c>
    </row>
    <row r="211" spans="1:4" ht="15" x14ac:dyDescent="0.2">
      <c r="B211" s="4" t="s">
        <v>594</v>
      </c>
      <c r="C211" s="4" t="s">
        <v>595</v>
      </c>
      <c r="D211" s="2">
        <f>'32'!K50</f>
        <v>0</v>
      </c>
    </row>
    <row r="212" spans="1:4" ht="15" x14ac:dyDescent="0.2">
      <c r="B212" s="4" t="s">
        <v>604</v>
      </c>
      <c r="C212" s="4" t="s">
        <v>605</v>
      </c>
      <c r="D212" s="2">
        <f>'32'!K61</f>
        <v>0</v>
      </c>
    </row>
    <row r="215" spans="1:4" x14ac:dyDescent="0.2">
      <c r="A215" t="s">
        <v>151</v>
      </c>
      <c r="B215">
        <v>33</v>
      </c>
    </row>
    <row r="216" spans="1:4" ht="15" x14ac:dyDescent="0.2">
      <c r="B216" s="3" t="s">
        <v>612</v>
      </c>
      <c r="C216" s="3" t="s">
        <v>613</v>
      </c>
    </row>
    <row r="217" spans="1:4" ht="15" x14ac:dyDescent="0.2">
      <c r="B217" s="4" t="s">
        <v>614</v>
      </c>
      <c r="C217" s="4" t="s">
        <v>615</v>
      </c>
      <c r="D217" s="2">
        <f>'33'!K26</f>
        <v>0</v>
      </c>
    </row>
    <row r="218" spans="1:4" ht="15" x14ac:dyDescent="0.2">
      <c r="B218" s="4" t="s">
        <v>620</v>
      </c>
      <c r="C218" s="4" t="s">
        <v>621</v>
      </c>
      <c r="D218" s="2">
        <f>'33'!K37</f>
        <v>0</v>
      </c>
    </row>
    <row r="219" spans="1:4" ht="15" x14ac:dyDescent="0.2">
      <c r="B219" s="4" t="s">
        <v>636</v>
      </c>
      <c r="C219" s="4" t="s">
        <v>637</v>
      </c>
      <c r="D219" s="2">
        <f>'33'!K54</f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2578125" defaultRowHeight="12.75" x14ac:dyDescent="0.2"/>
  <cols>
    <col min="2" max="3" width="22" customWidth="1"/>
    <col min="4" max="4" width="60" bestFit="1" customWidth="1"/>
    <col min="5" max="5" width="34" customWidth="1"/>
  </cols>
  <sheetData>
    <row r="1" spans="1:5" ht="15" x14ac:dyDescent="0.2">
      <c r="A1" s="3"/>
      <c r="B1" s="39" t="s">
        <v>151</v>
      </c>
      <c r="C1" s="39" t="s">
        <v>924</v>
      </c>
      <c r="D1" s="39" t="s">
        <v>925</v>
      </c>
      <c r="E1" s="39" t="s">
        <v>773</v>
      </c>
    </row>
    <row r="2" spans="1:5" s="40" customFormat="1" ht="15" x14ac:dyDescent="0.25">
      <c r="B2" s="45" t="s">
        <v>684</v>
      </c>
      <c r="C2" s="47"/>
      <c r="D2" s="46" t="s">
        <v>3</v>
      </c>
      <c r="E2" s="41">
        <f>'Estimate Summary'!H15</f>
        <v>125764.00475199999</v>
      </c>
    </row>
    <row r="3" spans="1:5" ht="15" x14ac:dyDescent="0.2">
      <c r="B3" s="14" t="s">
        <v>101</v>
      </c>
      <c r="C3" s="47"/>
      <c r="D3" s="36" t="s">
        <v>100</v>
      </c>
      <c r="E3" s="2">
        <f>'1'!K24</f>
        <v>52700</v>
      </c>
    </row>
    <row r="4" spans="1:5" ht="15" x14ac:dyDescent="0.2">
      <c r="B4" s="15" t="s">
        <v>102</v>
      </c>
      <c r="C4" s="48"/>
      <c r="D4" s="37" t="s">
        <v>103</v>
      </c>
      <c r="E4" s="2">
        <f>'1'!K35</f>
        <v>57200</v>
      </c>
    </row>
    <row r="5" spans="1:5" ht="15" x14ac:dyDescent="0.2">
      <c r="B5" s="15" t="s">
        <v>102</v>
      </c>
      <c r="C5" s="49" t="s">
        <v>799</v>
      </c>
      <c r="D5" s="5" t="s">
        <v>123</v>
      </c>
      <c r="E5" s="2">
        <f>'1'!K27</f>
        <v>0</v>
      </c>
    </row>
    <row r="6" spans="1:5" ht="15" x14ac:dyDescent="0.2">
      <c r="B6" s="15" t="s">
        <v>102</v>
      </c>
      <c r="C6" s="49" t="s">
        <v>800</v>
      </c>
      <c r="D6" s="5" t="s">
        <v>124</v>
      </c>
      <c r="E6" s="2">
        <f>'1'!K28</f>
        <v>0</v>
      </c>
    </row>
    <row r="7" spans="1:5" ht="15" x14ac:dyDescent="0.2">
      <c r="B7" s="15" t="s">
        <v>102</v>
      </c>
      <c r="C7" s="49" t="s">
        <v>801</v>
      </c>
      <c r="D7" s="5" t="s">
        <v>125</v>
      </c>
      <c r="E7" s="2">
        <f>'1'!K29</f>
        <v>13000</v>
      </c>
    </row>
    <row r="8" spans="1:5" ht="15" x14ac:dyDescent="0.2">
      <c r="B8" s="15" t="s">
        <v>102</v>
      </c>
      <c r="C8" s="49" t="s">
        <v>803</v>
      </c>
      <c r="D8" s="5" t="s">
        <v>746</v>
      </c>
      <c r="E8" s="2">
        <f>'1'!K30</f>
        <v>0</v>
      </c>
    </row>
    <row r="9" spans="1:5" ht="15" x14ac:dyDescent="0.2">
      <c r="B9" s="15" t="s">
        <v>102</v>
      </c>
      <c r="C9" s="49" t="s">
        <v>802</v>
      </c>
      <c r="D9" s="5" t="s">
        <v>126</v>
      </c>
      <c r="E9" s="2">
        <f>'1'!K31</f>
        <v>44200</v>
      </c>
    </row>
    <row r="10" spans="1:5" ht="15" x14ac:dyDescent="0.2">
      <c r="B10" s="15" t="s">
        <v>102</v>
      </c>
      <c r="C10" s="49" t="s">
        <v>804</v>
      </c>
      <c r="D10" s="5" t="s">
        <v>127</v>
      </c>
      <c r="E10" s="2">
        <f>'1'!K32</f>
        <v>0</v>
      </c>
    </row>
    <row r="11" spans="1:5" ht="15" x14ac:dyDescent="0.2">
      <c r="B11" s="15" t="s">
        <v>805</v>
      </c>
      <c r="C11" s="49" t="s">
        <v>805</v>
      </c>
      <c r="D11" s="5" t="s">
        <v>725</v>
      </c>
      <c r="E11" s="2"/>
    </row>
    <row r="12" spans="1:5" ht="15" x14ac:dyDescent="0.2">
      <c r="B12" s="15" t="s">
        <v>104</v>
      </c>
      <c r="C12" s="48"/>
      <c r="D12" s="37" t="s">
        <v>105</v>
      </c>
      <c r="E12" s="2">
        <f>'1'!K67</f>
        <v>2816.89</v>
      </c>
    </row>
    <row r="13" spans="1:5" ht="15" x14ac:dyDescent="0.2">
      <c r="B13" s="15" t="s">
        <v>143</v>
      </c>
      <c r="C13" s="48"/>
      <c r="D13" s="37" t="s">
        <v>144</v>
      </c>
      <c r="E13" s="2">
        <f>'1'!K76</f>
        <v>0</v>
      </c>
    </row>
    <row r="14" spans="1:5" ht="15" x14ac:dyDescent="0.2">
      <c r="B14" s="15" t="s">
        <v>106</v>
      </c>
      <c r="C14" s="48"/>
      <c r="D14" s="37" t="s">
        <v>107</v>
      </c>
      <c r="E14" s="2">
        <f>'1'!K87</f>
        <v>0</v>
      </c>
    </row>
    <row r="15" spans="1:5" ht="15" x14ac:dyDescent="0.2">
      <c r="B15" s="15" t="s">
        <v>109</v>
      </c>
      <c r="C15" s="48"/>
      <c r="D15" s="37" t="s">
        <v>108</v>
      </c>
      <c r="E15" s="2">
        <f>'1'!K97</f>
        <v>2154.4402319999999</v>
      </c>
    </row>
    <row r="16" spans="1:5" ht="15" x14ac:dyDescent="0.2">
      <c r="B16" s="15" t="s">
        <v>109</v>
      </c>
      <c r="C16" s="8" t="s">
        <v>857</v>
      </c>
      <c r="D16" s="5" t="s">
        <v>146</v>
      </c>
      <c r="E16" s="2">
        <f>'1'!K90</f>
        <v>0</v>
      </c>
    </row>
    <row r="17" spans="2:5" ht="15" x14ac:dyDescent="0.2">
      <c r="B17" s="15" t="s">
        <v>109</v>
      </c>
      <c r="C17" s="8" t="s">
        <v>858</v>
      </c>
      <c r="D17" s="5" t="s">
        <v>134</v>
      </c>
      <c r="E17" s="2">
        <f>'1'!K92</f>
        <v>0</v>
      </c>
    </row>
    <row r="18" spans="2:5" ht="15" x14ac:dyDescent="0.2">
      <c r="B18" s="15" t="s">
        <v>109</v>
      </c>
      <c r="C18" s="8" t="s">
        <v>859</v>
      </c>
      <c r="D18" s="5" t="s">
        <v>147</v>
      </c>
      <c r="E18" s="2">
        <f>'1'!K93</f>
        <v>329.44023200000004</v>
      </c>
    </row>
    <row r="19" spans="2:5" ht="15" x14ac:dyDescent="0.2">
      <c r="B19" s="15" t="s">
        <v>109</v>
      </c>
      <c r="C19" s="8" t="s">
        <v>860</v>
      </c>
      <c r="D19" s="5" t="s">
        <v>148</v>
      </c>
      <c r="E19" s="2">
        <f>'1'!K94</f>
        <v>1625</v>
      </c>
    </row>
    <row r="20" spans="2:5" ht="15" x14ac:dyDescent="0.2">
      <c r="B20" s="15" t="s">
        <v>109</v>
      </c>
      <c r="C20" s="8" t="s">
        <v>861</v>
      </c>
      <c r="D20" s="5" t="s">
        <v>18</v>
      </c>
      <c r="E20" s="2">
        <f>'1'!K95</f>
        <v>200</v>
      </c>
    </row>
    <row r="21" spans="2:5" ht="15" x14ac:dyDescent="0.2">
      <c r="B21" s="15" t="s">
        <v>110</v>
      </c>
      <c r="C21" s="48"/>
      <c r="D21" s="37" t="s">
        <v>111</v>
      </c>
      <c r="E21" s="2">
        <f>'1'!K105</f>
        <v>1395.6286192000002</v>
      </c>
    </row>
    <row r="22" spans="2:5" ht="15" x14ac:dyDescent="0.2">
      <c r="B22" s="15" t="s">
        <v>812</v>
      </c>
      <c r="C22" s="48" t="s">
        <v>812</v>
      </c>
      <c r="D22" s="37" t="s">
        <v>756</v>
      </c>
      <c r="E22" s="2"/>
    </row>
    <row r="23" spans="2:5" ht="15" x14ac:dyDescent="0.2">
      <c r="B23" s="15" t="s">
        <v>112</v>
      </c>
      <c r="C23" s="48"/>
      <c r="D23" s="37" t="s">
        <v>113</v>
      </c>
      <c r="E23" s="2">
        <f>'1'!K128</f>
        <v>3000</v>
      </c>
    </row>
    <row r="24" spans="2:5" ht="15" x14ac:dyDescent="0.2">
      <c r="B24" s="15" t="s">
        <v>114</v>
      </c>
      <c r="C24" s="48"/>
      <c r="D24" s="37" t="s">
        <v>115</v>
      </c>
      <c r="E24" s="2">
        <f>'1'!K136</f>
        <v>5347</v>
      </c>
    </row>
    <row r="25" spans="2:5" ht="15" x14ac:dyDescent="0.2">
      <c r="B25" s="15" t="s">
        <v>114</v>
      </c>
      <c r="C25" s="49" t="s">
        <v>833</v>
      </c>
      <c r="D25" s="5" t="s">
        <v>140</v>
      </c>
      <c r="E25" s="2">
        <f>'1'!K131</f>
        <v>0</v>
      </c>
    </row>
    <row r="26" spans="2:5" ht="15" x14ac:dyDescent="0.2">
      <c r="B26" s="15" t="s">
        <v>114</v>
      </c>
      <c r="C26" s="49" t="s">
        <v>834</v>
      </c>
      <c r="D26" s="5" t="s">
        <v>141</v>
      </c>
      <c r="E26" s="2">
        <f>'1'!K132</f>
        <v>0</v>
      </c>
    </row>
    <row r="27" spans="2:5" ht="15" x14ac:dyDescent="0.2">
      <c r="B27" s="15" t="s">
        <v>114</v>
      </c>
      <c r="C27" s="49" t="s">
        <v>835</v>
      </c>
      <c r="D27" s="5" t="s">
        <v>142</v>
      </c>
      <c r="E27" s="2">
        <f>'1'!K133</f>
        <v>3600</v>
      </c>
    </row>
    <row r="28" spans="2:5" ht="15" x14ac:dyDescent="0.2">
      <c r="B28" s="15" t="s">
        <v>114</v>
      </c>
      <c r="C28" s="49" t="s">
        <v>836</v>
      </c>
      <c r="D28" s="5" t="s">
        <v>53</v>
      </c>
      <c r="E28" s="2">
        <f>'1'!K134</f>
        <v>1747</v>
      </c>
    </row>
    <row r="29" spans="2:5" s="40" customFormat="1" ht="14.25" x14ac:dyDescent="0.2">
      <c r="B29" s="40" t="s">
        <v>152</v>
      </c>
      <c r="C29" s="38"/>
      <c r="D29" s="40" t="s">
        <v>154</v>
      </c>
      <c r="E29" s="41">
        <f>'Estimate Summary'!H17</f>
        <v>17286</v>
      </c>
    </row>
    <row r="30" spans="2:5" ht="15" x14ac:dyDescent="0.2">
      <c r="B30" s="4" t="s">
        <v>153</v>
      </c>
      <c r="C30" s="38"/>
      <c r="D30" s="4" t="s">
        <v>76</v>
      </c>
      <c r="E30" s="2">
        <f>'2'!K26</f>
        <v>15786</v>
      </c>
    </row>
    <row r="31" spans="2:5" ht="15" x14ac:dyDescent="0.2">
      <c r="B31" s="4" t="s">
        <v>155</v>
      </c>
      <c r="C31" s="38"/>
      <c r="D31" s="4" t="s">
        <v>156</v>
      </c>
      <c r="E31" s="2">
        <f>'2'!K37</f>
        <v>0</v>
      </c>
    </row>
    <row r="32" spans="2:5" ht="15" x14ac:dyDescent="0.2">
      <c r="B32" s="4" t="s">
        <v>157</v>
      </c>
      <c r="C32" s="38"/>
      <c r="D32" s="4" t="s">
        <v>534</v>
      </c>
      <c r="E32" s="2">
        <f>'2'!K48</f>
        <v>1500</v>
      </c>
    </row>
    <row r="33" spans="2:5" s="40" customFormat="1" ht="14.25" x14ac:dyDescent="0.2">
      <c r="B33" s="40" t="s">
        <v>158</v>
      </c>
      <c r="C33" s="38"/>
      <c r="D33" s="40" t="s">
        <v>4</v>
      </c>
      <c r="E33" s="41">
        <f>'Estimate Summary'!H19</f>
        <v>0</v>
      </c>
    </row>
    <row r="34" spans="2:5" ht="15" x14ac:dyDescent="0.2">
      <c r="B34" s="4" t="s">
        <v>159</v>
      </c>
      <c r="C34" s="38"/>
      <c r="D34" s="4" t="s">
        <v>160</v>
      </c>
      <c r="E34" s="2">
        <f>'3'!K26</f>
        <v>0</v>
      </c>
    </row>
    <row r="35" spans="2:5" ht="15" x14ac:dyDescent="0.2">
      <c r="B35" s="4" t="s">
        <v>162</v>
      </c>
      <c r="C35" s="38"/>
      <c r="D35" s="4" t="s">
        <v>161</v>
      </c>
      <c r="E35" s="2">
        <f>'3'!K37</f>
        <v>0</v>
      </c>
    </row>
    <row r="36" spans="2:5" ht="15" x14ac:dyDescent="0.2">
      <c r="B36" s="4" t="s">
        <v>163</v>
      </c>
      <c r="C36" s="38"/>
      <c r="D36" s="4" t="s">
        <v>167</v>
      </c>
      <c r="E36" s="2">
        <f>'3'!K46</f>
        <v>0</v>
      </c>
    </row>
    <row r="37" spans="2:5" ht="15" x14ac:dyDescent="0.2">
      <c r="B37" s="4" t="s">
        <v>164</v>
      </c>
      <c r="C37" s="38"/>
      <c r="D37" s="4" t="s">
        <v>168</v>
      </c>
      <c r="E37" s="2">
        <f>'3'!K55</f>
        <v>0</v>
      </c>
    </row>
    <row r="38" spans="2:5" ht="15" x14ac:dyDescent="0.2">
      <c r="B38" s="4" t="s">
        <v>165</v>
      </c>
      <c r="C38" s="38"/>
      <c r="D38" s="4" t="s">
        <v>169</v>
      </c>
      <c r="E38" s="2">
        <f>'3'!K66</f>
        <v>0</v>
      </c>
    </row>
    <row r="39" spans="2:5" ht="15" x14ac:dyDescent="0.2">
      <c r="B39" s="4" t="s">
        <v>166</v>
      </c>
      <c r="C39" s="38"/>
      <c r="D39" s="4" t="s">
        <v>921</v>
      </c>
      <c r="E39" s="2">
        <f>'3'!K75</f>
        <v>0</v>
      </c>
    </row>
    <row r="40" spans="2:5" ht="15" x14ac:dyDescent="0.2">
      <c r="B40" s="4" t="s">
        <v>166</v>
      </c>
      <c r="C40" s="49" t="s">
        <v>922</v>
      </c>
      <c r="D40" s="5" t="s">
        <v>752</v>
      </c>
      <c r="E40" s="2">
        <f>'3'!K69</f>
        <v>0</v>
      </c>
    </row>
    <row r="41" spans="2:5" ht="15" x14ac:dyDescent="0.2">
      <c r="B41" s="4" t="s">
        <v>166</v>
      </c>
      <c r="C41" s="49" t="s">
        <v>923</v>
      </c>
      <c r="D41" s="5" t="s">
        <v>55</v>
      </c>
      <c r="E41" s="2">
        <f>'3'!K70</f>
        <v>0</v>
      </c>
    </row>
    <row r="42" spans="2:5" s="40" customFormat="1" ht="14.25" x14ac:dyDescent="0.2">
      <c r="B42" s="40" t="s">
        <v>171</v>
      </c>
      <c r="C42" s="38"/>
      <c r="D42" s="40" t="s">
        <v>5</v>
      </c>
      <c r="E42" s="41">
        <f>'Estimate Summary'!H21</f>
        <v>0</v>
      </c>
    </row>
    <row r="43" spans="2:5" ht="15" x14ac:dyDescent="0.2">
      <c r="B43" s="4" t="s">
        <v>172</v>
      </c>
      <c r="C43" s="38"/>
      <c r="D43" s="4" t="s">
        <v>174</v>
      </c>
      <c r="E43" s="2">
        <f>'4'!K26</f>
        <v>0</v>
      </c>
    </row>
    <row r="44" spans="2:5" ht="15" x14ac:dyDescent="0.2">
      <c r="B44" s="4" t="s">
        <v>173</v>
      </c>
      <c r="C44" s="38"/>
      <c r="D44" s="4" t="s">
        <v>175</v>
      </c>
      <c r="E44" s="2">
        <f>'4'!K37</f>
        <v>0</v>
      </c>
    </row>
    <row r="45" spans="2:5" s="40" customFormat="1" ht="14.25" x14ac:dyDescent="0.2">
      <c r="B45" s="40" t="s">
        <v>177</v>
      </c>
      <c r="C45" s="38"/>
      <c r="D45" s="40" t="s">
        <v>6</v>
      </c>
      <c r="E45" s="41">
        <f>'Estimate Summary'!H23</f>
        <v>0</v>
      </c>
    </row>
    <row r="46" spans="2:5" ht="15" x14ac:dyDescent="0.2">
      <c r="B46" s="4" t="s">
        <v>178</v>
      </c>
      <c r="C46" s="38"/>
      <c r="D46" s="4" t="s">
        <v>184</v>
      </c>
      <c r="E46" s="2">
        <f>'5'!K26</f>
        <v>0</v>
      </c>
    </row>
    <row r="47" spans="2:5" ht="15" x14ac:dyDescent="0.2">
      <c r="B47" s="4" t="s">
        <v>179</v>
      </c>
      <c r="C47" s="38"/>
      <c r="D47" s="4" t="s">
        <v>185</v>
      </c>
      <c r="E47" s="2">
        <f>'5'!K37</f>
        <v>0</v>
      </c>
    </row>
    <row r="48" spans="2:5" ht="15" x14ac:dyDescent="0.2">
      <c r="B48" s="4" t="s">
        <v>180</v>
      </c>
      <c r="C48" s="38"/>
      <c r="D48" s="4" t="s">
        <v>186</v>
      </c>
      <c r="E48" s="2">
        <f>'5'!K45</f>
        <v>0</v>
      </c>
    </row>
    <row r="49" spans="2:5" ht="15" x14ac:dyDescent="0.2">
      <c r="B49" s="4" t="s">
        <v>181</v>
      </c>
      <c r="C49" s="38"/>
      <c r="D49" s="4" t="s">
        <v>187</v>
      </c>
      <c r="E49" s="2">
        <f>'5'!K54</f>
        <v>0</v>
      </c>
    </row>
    <row r="50" spans="2:5" ht="15" x14ac:dyDescent="0.2">
      <c r="B50" s="4" t="s">
        <v>182</v>
      </c>
      <c r="C50" s="38"/>
      <c r="D50" s="4" t="s">
        <v>188</v>
      </c>
      <c r="E50" s="2">
        <f>'5'!K65</f>
        <v>0</v>
      </c>
    </row>
    <row r="51" spans="2:5" ht="15" x14ac:dyDescent="0.2">
      <c r="B51" s="4" t="s">
        <v>183</v>
      </c>
      <c r="C51" s="38"/>
      <c r="D51" s="4" t="s">
        <v>189</v>
      </c>
      <c r="E51" s="2">
        <f>'5'!K74</f>
        <v>0</v>
      </c>
    </row>
    <row r="52" spans="2:5" s="40" customFormat="1" ht="14.25" x14ac:dyDescent="0.2">
      <c r="B52" s="40" t="s">
        <v>190</v>
      </c>
      <c r="C52" s="38"/>
      <c r="D52" s="40" t="s">
        <v>191</v>
      </c>
      <c r="E52" s="41">
        <f>'Estimate Summary'!H25</f>
        <v>184170.8</v>
      </c>
    </row>
    <row r="53" spans="2:5" ht="15" x14ac:dyDescent="0.2">
      <c r="B53" s="4" t="s">
        <v>798</v>
      </c>
      <c r="C53" s="38"/>
      <c r="D53" s="4" t="s">
        <v>903</v>
      </c>
      <c r="E53" s="2">
        <f>'6'!K19</f>
        <v>1300</v>
      </c>
    </row>
    <row r="54" spans="2:5" ht="15" x14ac:dyDescent="0.2">
      <c r="B54" s="4" t="s">
        <v>192</v>
      </c>
      <c r="C54" s="38"/>
      <c r="D54" s="4" t="s">
        <v>920</v>
      </c>
      <c r="E54" s="2">
        <f>'6'!K36</f>
        <v>1995.8000000000002</v>
      </c>
    </row>
    <row r="55" spans="2:5" ht="15" x14ac:dyDescent="0.2">
      <c r="B55" s="4" t="s">
        <v>193</v>
      </c>
      <c r="C55" s="38"/>
      <c r="D55" s="4" t="s">
        <v>47</v>
      </c>
      <c r="E55" s="2">
        <f>'6'!K51</f>
        <v>180875</v>
      </c>
    </row>
    <row r="56" spans="2:5" ht="15" x14ac:dyDescent="0.2">
      <c r="B56" s="4" t="s">
        <v>194</v>
      </c>
      <c r="C56" s="38"/>
      <c r="D56" s="4" t="s">
        <v>195</v>
      </c>
      <c r="E56" s="2">
        <f>'6'!K59</f>
        <v>0</v>
      </c>
    </row>
    <row r="57" spans="2:5" ht="15" x14ac:dyDescent="0.2">
      <c r="B57" s="4" t="s">
        <v>197</v>
      </c>
      <c r="C57" s="38"/>
      <c r="D57" s="4" t="s">
        <v>196</v>
      </c>
      <c r="E57" s="2">
        <f>'6'!K68</f>
        <v>0</v>
      </c>
    </row>
    <row r="58" spans="2:5" ht="15" x14ac:dyDescent="0.2">
      <c r="B58" s="4" t="s">
        <v>198</v>
      </c>
      <c r="C58" s="38"/>
      <c r="D58" s="4" t="s">
        <v>199</v>
      </c>
      <c r="E58" s="2">
        <f>'6'!K79</f>
        <v>0</v>
      </c>
    </row>
    <row r="59" spans="2:5" ht="15" x14ac:dyDescent="0.2">
      <c r="B59" s="4" t="s">
        <v>200</v>
      </c>
      <c r="C59" s="38"/>
      <c r="D59" s="4" t="s">
        <v>201</v>
      </c>
      <c r="E59" s="2">
        <f>'6'!K88</f>
        <v>0</v>
      </c>
    </row>
    <row r="60" spans="2:5" ht="15" x14ac:dyDescent="0.2">
      <c r="B60" s="4" t="s">
        <v>203</v>
      </c>
      <c r="C60" s="38"/>
      <c r="D60" s="4" t="s">
        <v>202</v>
      </c>
      <c r="E60" s="2">
        <f>'6'!K95</f>
        <v>0</v>
      </c>
    </row>
    <row r="61" spans="2:5" s="40" customFormat="1" ht="14.25" x14ac:dyDescent="0.2">
      <c r="B61" s="40" t="s">
        <v>204</v>
      </c>
      <c r="C61" s="38"/>
      <c r="D61" s="40" t="s">
        <v>56</v>
      </c>
      <c r="E61" s="41">
        <f>'Estimate Summary'!H27</f>
        <v>8446</v>
      </c>
    </row>
    <row r="62" spans="2:5" ht="15" x14ac:dyDescent="0.2">
      <c r="B62" s="4" t="s">
        <v>205</v>
      </c>
      <c r="C62" s="38"/>
      <c r="D62" s="4" t="s">
        <v>206</v>
      </c>
      <c r="E62" s="2">
        <f>'7'!K16</f>
        <v>0</v>
      </c>
    </row>
    <row r="63" spans="2:5" ht="15" x14ac:dyDescent="0.2">
      <c r="B63" s="4" t="s">
        <v>213</v>
      </c>
      <c r="C63" s="38"/>
      <c r="D63" s="4" t="s">
        <v>214</v>
      </c>
      <c r="E63" s="2">
        <f>'7'!K22</f>
        <v>0</v>
      </c>
    </row>
    <row r="64" spans="2:5" ht="15" x14ac:dyDescent="0.2">
      <c r="B64" s="4" t="s">
        <v>215</v>
      </c>
      <c r="C64" s="38"/>
      <c r="D64" s="4" t="s">
        <v>216</v>
      </c>
      <c r="E64" s="2">
        <f>'7'!K27</f>
        <v>0</v>
      </c>
    </row>
    <row r="65" spans="2:5" ht="15" x14ac:dyDescent="0.2">
      <c r="B65" s="4" t="s">
        <v>217</v>
      </c>
      <c r="C65" s="38"/>
      <c r="D65" s="4" t="s">
        <v>218</v>
      </c>
      <c r="E65" s="2">
        <f>'7'!K33</f>
        <v>0</v>
      </c>
    </row>
    <row r="66" spans="2:5" ht="15" x14ac:dyDescent="0.2">
      <c r="B66" s="4" t="s">
        <v>219</v>
      </c>
      <c r="C66" s="38"/>
      <c r="D66" s="4" t="s">
        <v>57</v>
      </c>
      <c r="E66" s="2">
        <f>'7'!K39</f>
        <v>0</v>
      </c>
    </row>
    <row r="67" spans="2:5" ht="15" x14ac:dyDescent="0.2">
      <c r="B67" s="4" t="s">
        <v>220</v>
      </c>
      <c r="C67" s="38"/>
      <c r="D67" s="4" t="s">
        <v>221</v>
      </c>
      <c r="E67" s="2">
        <f>'7'!K45</f>
        <v>0</v>
      </c>
    </row>
    <row r="68" spans="2:5" ht="15" x14ac:dyDescent="0.2">
      <c r="B68" s="4" t="s">
        <v>222</v>
      </c>
      <c r="C68" s="38"/>
      <c r="D68" s="4" t="s">
        <v>223</v>
      </c>
      <c r="E68" s="2">
        <f>'7'!K50</f>
        <v>0</v>
      </c>
    </row>
    <row r="69" spans="2:5" ht="15" x14ac:dyDescent="0.2">
      <c r="B69" s="4" t="s">
        <v>224</v>
      </c>
      <c r="C69" s="38"/>
      <c r="D69" s="4" t="s">
        <v>225</v>
      </c>
      <c r="E69" s="2">
        <f>'7'!K55</f>
        <v>0</v>
      </c>
    </row>
    <row r="70" spans="2:5" ht="15" x14ac:dyDescent="0.2">
      <c r="B70" s="4" t="s">
        <v>228</v>
      </c>
      <c r="C70" s="38"/>
      <c r="D70" s="4" t="s">
        <v>226</v>
      </c>
      <c r="E70" s="2">
        <f>'7'!K60</f>
        <v>0</v>
      </c>
    </row>
    <row r="71" spans="2:5" ht="15" x14ac:dyDescent="0.2">
      <c r="B71" s="4" t="s">
        <v>229</v>
      </c>
      <c r="C71" s="38"/>
      <c r="D71" s="4" t="s">
        <v>227</v>
      </c>
      <c r="E71" s="2">
        <f>'7'!K66</f>
        <v>0</v>
      </c>
    </row>
    <row r="72" spans="2:5" ht="15" x14ac:dyDescent="0.2">
      <c r="B72" s="4" t="s">
        <v>230</v>
      </c>
      <c r="C72" s="38"/>
      <c r="D72" s="4" t="s">
        <v>231</v>
      </c>
      <c r="E72" s="2">
        <f>'7'!K72</f>
        <v>0</v>
      </c>
    </row>
    <row r="73" spans="2:5" ht="15" x14ac:dyDescent="0.2">
      <c r="B73" s="4" t="s">
        <v>236</v>
      </c>
      <c r="C73" s="38"/>
      <c r="D73" s="4" t="s">
        <v>237</v>
      </c>
      <c r="E73" s="2">
        <f>'7'!K78</f>
        <v>8446</v>
      </c>
    </row>
    <row r="74" spans="2:5" ht="15" x14ac:dyDescent="0.2">
      <c r="B74" s="4" t="s">
        <v>240</v>
      </c>
      <c r="C74" s="38"/>
      <c r="D74" s="4" t="s">
        <v>241</v>
      </c>
      <c r="E74" s="2">
        <f>'7'!K84</f>
        <v>0</v>
      </c>
    </row>
    <row r="75" spans="2:5" s="40" customFormat="1" ht="14.25" x14ac:dyDescent="0.2">
      <c r="B75" s="40" t="s">
        <v>242</v>
      </c>
      <c r="C75" s="38"/>
      <c r="D75" s="40" t="s">
        <v>243</v>
      </c>
      <c r="E75" s="41">
        <f>'Estimate Summary'!H29</f>
        <v>22710</v>
      </c>
    </row>
    <row r="76" spans="2:5" ht="15" x14ac:dyDescent="0.2">
      <c r="B76" s="4" t="s">
        <v>244</v>
      </c>
      <c r="C76" s="38"/>
      <c r="D76" s="4" t="s">
        <v>245</v>
      </c>
      <c r="E76" s="2">
        <f>'8'!K18</f>
        <v>20485</v>
      </c>
    </row>
    <row r="77" spans="2:5" ht="15" x14ac:dyDescent="0.2">
      <c r="B77" s="4" t="s">
        <v>248</v>
      </c>
      <c r="C77" s="38"/>
      <c r="D77" s="4" t="s">
        <v>249</v>
      </c>
      <c r="E77" s="2">
        <f>'8'!K24</f>
        <v>0</v>
      </c>
    </row>
    <row r="78" spans="2:5" ht="15" x14ac:dyDescent="0.2">
      <c r="B78" s="4" t="s">
        <v>250</v>
      </c>
      <c r="C78" s="38"/>
      <c r="D78" s="4" t="s">
        <v>251</v>
      </c>
      <c r="E78" s="2">
        <f>'8'!K29</f>
        <v>0</v>
      </c>
    </row>
    <row r="79" spans="2:5" ht="15" x14ac:dyDescent="0.2">
      <c r="B79" s="4" t="s">
        <v>252</v>
      </c>
      <c r="C79" s="38"/>
      <c r="D79" s="4" t="s">
        <v>253</v>
      </c>
      <c r="E79" s="2">
        <f>'8'!K35</f>
        <v>0</v>
      </c>
    </row>
    <row r="80" spans="2:5" ht="15" x14ac:dyDescent="0.2">
      <c r="B80" s="4" t="s">
        <v>254</v>
      </c>
      <c r="C80" s="38"/>
      <c r="D80" s="4" t="s">
        <v>255</v>
      </c>
      <c r="E80" s="2">
        <f>'8'!K41</f>
        <v>0</v>
      </c>
    </row>
    <row r="81" spans="2:5" ht="15" x14ac:dyDescent="0.2">
      <c r="B81" s="4" t="s">
        <v>256</v>
      </c>
      <c r="C81" s="38"/>
      <c r="D81" s="4" t="s">
        <v>257</v>
      </c>
      <c r="E81" s="2">
        <f>'8'!K47</f>
        <v>0</v>
      </c>
    </row>
    <row r="82" spans="2:5" ht="15" x14ac:dyDescent="0.2">
      <c r="B82" s="4" t="s">
        <v>258</v>
      </c>
      <c r="C82" s="38"/>
      <c r="D82" s="4" t="s">
        <v>59</v>
      </c>
      <c r="E82" s="2">
        <f>'8'!K52</f>
        <v>0</v>
      </c>
    </row>
    <row r="83" spans="2:5" ht="15" x14ac:dyDescent="0.2">
      <c r="B83" s="4" t="s">
        <v>259</v>
      </c>
      <c r="C83" s="38"/>
      <c r="D83" s="4" t="s">
        <v>46</v>
      </c>
      <c r="E83" s="2">
        <f>'8'!K57</f>
        <v>0</v>
      </c>
    </row>
    <row r="84" spans="2:5" ht="15" x14ac:dyDescent="0.2">
      <c r="B84" s="4" t="s">
        <v>260</v>
      </c>
      <c r="C84" s="38"/>
      <c r="D84" s="4" t="s">
        <v>261</v>
      </c>
      <c r="E84" s="2">
        <f>'8'!K62</f>
        <v>0</v>
      </c>
    </row>
    <row r="85" spans="2:5" ht="15" x14ac:dyDescent="0.2">
      <c r="B85" s="4" t="s">
        <v>262</v>
      </c>
      <c r="C85" s="38"/>
      <c r="D85" s="4" t="s">
        <v>93</v>
      </c>
      <c r="E85" s="2">
        <f>'8'!K69</f>
        <v>0</v>
      </c>
    </row>
    <row r="86" spans="2:5" ht="15" x14ac:dyDescent="0.2">
      <c r="B86" s="4" t="s">
        <v>270</v>
      </c>
      <c r="C86" s="38"/>
      <c r="D86" s="4" t="s">
        <v>61</v>
      </c>
      <c r="E86" s="2">
        <f>'8'!K75</f>
        <v>0</v>
      </c>
    </row>
    <row r="87" spans="2:5" ht="15" x14ac:dyDescent="0.2">
      <c r="B87" s="4" t="s">
        <v>271</v>
      </c>
      <c r="C87" s="38"/>
      <c r="D87" s="4" t="s">
        <v>272</v>
      </c>
      <c r="E87" s="2">
        <f>'8'!K81</f>
        <v>2225</v>
      </c>
    </row>
    <row r="88" spans="2:5" ht="15" x14ac:dyDescent="0.2">
      <c r="B88" s="4" t="s">
        <v>273</v>
      </c>
      <c r="C88" s="38"/>
      <c r="D88" s="4" t="s">
        <v>274</v>
      </c>
      <c r="E88" s="2">
        <f>'8'!K87</f>
        <v>0</v>
      </c>
    </row>
    <row r="89" spans="2:5" ht="15" x14ac:dyDescent="0.2">
      <c r="B89" s="4" t="s">
        <v>275</v>
      </c>
      <c r="C89" s="38"/>
      <c r="D89" s="4" t="s">
        <v>276</v>
      </c>
      <c r="E89" s="2">
        <f>'8'!K93</f>
        <v>0</v>
      </c>
    </row>
    <row r="90" spans="2:5" ht="17.100000000000001" customHeight="1" x14ac:dyDescent="0.2">
      <c r="B90" s="4" t="s">
        <v>277</v>
      </c>
      <c r="C90" s="38"/>
      <c r="D90" s="4" t="s">
        <v>278</v>
      </c>
      <c r="E90" s="2">
        <f>'8'!K99</f>
        <v>0</v>
      </c>
    </row>
    <row r="91" spans="2:5" s="40" customFormat="1" ht="14.25" x14ac:dyDescent="0.2">
      <c r="B91" s="40" t="s">
        <v>279</v>
      </c>
      <c r="C91" s="38"/>
      <c r="D91" s="40" t="s">
        <v>8</v>
      </c>
      <c r="E91" s="41">
        <f>'Estimate Summary'!H31</f>
        <v>100111.44</v>
      </c>
    </row>
    <row r="92" spans="2:5" ht="15" x14ac:dyDescent="0.2">
      <c r="B92" s="4" t="s">
        <v>280</v>
      </c>
      <c r="C92" s="38"/>
      <c r="D92" s="4" t="s">
        <v>281</v>
      </c>
      <c r="E92" s="2">
        <f>'9'!K18</f>
        <v>61750</v>
      </c>
    </row>
    <row r="93" spans="2:5" ht="15" x14ac:dyDescent="0.2">
      <c r="B93" s="4" t="s">
        <v>282</v>
      </c>
      <c r="C93" s="38"/>
      <c r="D93" s="4" t="s">
        <v>283</v>
      </c>
      <c r="E93" s="2">
        <f>'9'!K26</f>
        <v>0</v>
      </c>
    </row>
    <row r="94" spans="2:5" ht="15" x14ac:dyDescent="0.2">
      <c r="B94" s="4" t="s">
        <v>284</v>
      </c>
      <c r="C94" s="38"/>
      <c r="D94" s="4" t="s">
        <v>285</v>
      </c>
      <c r="E94" s="2">
        <f>'9'!K32</f>
        <v>0</v>
      </c>
    </row>
    <row r="95" spans="2:5" ht="15" x14ac:dyDescent="0.2">
      <c r="B95" s="4" t="s">
        <v>286</v>
      </c>
      <c r="C95" s="38"/>
      <c r="D95" s="4" t="s">
        <v>78</v>
      </c>
      <c r="E95" s="2">
        <f>'9'!K47</f>
        <v>26169</v>
      </c>
    </row>
    <row r="96" spans="2:5" ht="15" x14ac:dyDescent="0.2">
      <c r="B96" s="4" t="s">
        <v>286</v>
      </c>
      <c r="C96" s="4" t="s">
        <v>287</v>
      </c>
      <c r="D96" s="4" t="s">
        <v>914</v>
      </c>
      <c r="E96" s="2">
        <f>'9'!K35</f>
        <v>0</v>
      </c>
    </row>
    <row r="97" spans="2:5" ht="15" x14ac:dyDescent="0.2">
      <c r="B97" s="4" t="s">
        <v>286</v>
      </c>
      <c r="C97" s="4" t="s">
        <v>288</v>
      </c>
      <c r="D97" s="4" t="s">
        <v>289</v>
      </c>
      <c r="E97" s="2">
        <f>'9'!K37</f>
        <v>0</v>
      </c>
    </row>
    <row r="98" spans="2:5" ht="15" x14ac:dyDescent="0.2">
      <c r="B98" s="4" t="s">
        <v>286</v>
      </c>
      <c r="C98" s="4" t="s">
        <v>290</v>
      </c>
      <c r="D98" s="4" t="s">
        <v>63</v>
      </c>
      <c r="E98" s="2">
        <f>'9'!K38</f>
        <v>0</v>
      </c>
    </row>
    <row r="99" spans="2:5" ht="15" x14ac:dyDescent="0.2">
      <c r="B99" s="4" t="s">
        <v>286</v>
      </c>
      <c r="C99" s="4" t="s">
        <v>291</v>
      </c>
      <c r="D99" s="4" t="s">
        <v>915</v>
      </c>
      <c r="E99" s="2">
        <f>'9'!K39</f>
        <v>22675</v>
      </c>
    </row>
    <row r="100" spans="2:5" ht="15" x14ac:dyDescent="0.2">
      <c r="B100" s="4" t="s">
        <v>286</v>
      </c>
      <c r="C100" s="4" t="s">
        <v>292</v>
      </c>
      <c r="D100" s="4" t="s">
        <v>916</v>
      </c>
      <c r="E100" s="2">
        <f>'9'!K40</f>
        <v>3494</v>
      </c>
    </row>
    <row r="101" spans="2:5" ht="15" x14ac:dyDescent="0.2">
      <c r="B101" s="4" t="s">
        <v>286</v>
      </c>
      <c r="C101" s="4" t="s">
        <v>293</v>
      </c>
      <c r="D101" s="4" t="s">
        <v>917</v>
      </c>
      <c r="E101" s="2">
        <f>'9'!K41</f>
        <v>0</v>
      </c>
    </row>
    <row r="102" spans="2:5" ht="15" x14ac:dyDescent="0.2">
      <c r="B102" s="4" t="s">
        <v>294</v>
      </c>
      <c r="C102" s="38"/>
      <c r="D102" s="4" t="s">
        <v>65</v>
      </c>
      <c r="E102" s="2">
        <f>'9'!K53</f>
        <v>0</v>
      </c>
    </row>
    <row r="103" spans="2:5" ht="15" x14ac:dyDescent="0.2">
      <c r="B103" s="4" t="s">
        <v>295</v>
      </c>
      <c r="C103" s="38"/>
      <c r="D103" s="4" t="s">
        <v>79</v>
      </c>
      <c r="E103" s="2">
        <f>'9'!K62</f>
        <v>12192.44</v>
      </c>
    </row>
    <row r="104" spans="2:5" s="40" customFormat="1" ht="14.25" x14ac:dyDescent="0.2">
      <c r="B104" s="40" t="s">
        <v>298</v>
      </c>
      <c r="C104" s="38"/>
      <c r="D104" s="40" t="s">
        <v>9</v>
      </c>
      <c r="E104" s="41">
        <f>'Estimate Summary'!H33</f>
        <v>11690</v>
      </c>
    </row>
    <row r="105" spans="2:5" ht="15" x14ac:dyDescent="0.2">
      <c r="B105" s="4" t="s">
        <v>299</v>
      </c>
      <c r="C105" s="38"/>
      <c r="D105" s="4" t="s">
        <v>300</v>
      </c>
      <c r="E105" s="2">
        <f>'10'!K17</f>
        <v>0</v>
      </c>
    </row>
    <row r="106" spans="2:5" ht="15" x14ac:dyDescent="0.2">
      <c r="B106" s="4" t="s">
        <v>301</v>
      </c>
      <c r="C106" s="38"/>
      <c r="D106" s="4" t="s">
        <v>302</v>
      </c>
      <c r="E106" s="2">
        <f>'10'!K25</f>
        <v>0</v>
      </c>
    </row>
    <row r="107" spans="2:5" ht="15" x14ac:dyDescent="0.2">
      <c r="B107" s="4" t="s">
        <v>303</v>
      </c>
      <c r="C107" s="38"/>
      <c r="D107" s="4" t="s">
        <v>304</v>
      </c>
      <c r="E107" s="2">
        <f>'10'!K38</f>
        <v>11690</v>
      </c>
    </row>
    <row r="108" spans="2:5" ht="15" x14ac:dyDescent="0.2">
      <c r="B108" s="4" t="s">
        <v>312</v>
      </c>
      <c r="C108" s="38"/>
      <c r="D108" s="4" t="s">
        <v>313</v>
      </c>
      <c r="E108" s="2">
        <f>'10'!K44</f>
        <v>0</v>
      </c>
    </row>
    <row r="109" spans="2:5" ht="15" x14ac:dyDescent="0.2">
      <c r="B109" s="4" t="s">
        <v>315</v>
      </c>
      <c r="C109" s="38"/>
      <c r="D109" s="4" t="s">
        <v>66</v>
      </c>
      <c r="E109" s="2">
        <f>'10'!K51</f>
        <v>0</v>
      </c>
    </row>
    <row r="110" spans="2:5" ht="15" x14ac:dyDescent="0.2">
      <c r="B110" s="4" t="s">
        <v>316</v>
      </c>
      <c r="C110" s="38"/>
      <c r="D110" s="4" t="s">
        <v>317</v>
      </c>
      <c r="E110" s="2">
        <f>'10'!K57</f>
        <v>0</v>
      </c>
    </row>
    <row r="111" spans="2:5" ht="15" x14ac:dyDescent="0.2">
      <c r="B111" s="4" t="s">
        <v>318</v>
      </c>
      <c r="C111" s="38"/>
      <c r="D111" s="4" t="s">
        <v>319</v>
      </c>
      <c r="E111" s="2">
        <f>'10'!K63</f>
        <v>0</v>
      </c>
    </row>
    <row r="112" spans="2:5" s="40" customFormat="1" ht="14.25" x14ac:dyDescent="0.2">
      <c r="B112" s="40" t="s">
        <v>326</v>
      </c>
      <c r="C112" s="38"/>
      <c r="D112" s="40" t="s">
        <v>69</v>
      </c>
      <c r="E112" s="41">
        <f>'Estimate Summary'!H35</f>
        <v>0</v>
      </c>
    </row>
    <row r="113" spans="2:5" ht="15" x14ac:dyDescent="0.2">
      <c r="B113" s="4" t="s">
        <v>327</v>
      </c>
      <c r="C113" s="38"/>
      <c r="D113" s="4" t="s">
        <v>328</v>
      </c>
      <c r="E113" s="2">
        <f>'11'!K24</f>
        <v>0</v>
      </c>
    </row>
    <row r="114" spans="2:5" ht="15" x14ac:dyDescent="0.2">
      <c r="B114" s="4" t="s">
        <v>329</v>
      </c>
      <c r="C114" s="38"/>
      <c r="D114" s="4" t="s">
        <v>330</v>
      </c>
      <c r="E114" s="2">
        <f>'11'!K35</f>
        <v>0</v>
      </c>
    </row>
    <row r="115" spans="2:5" ht="15" x14ac:dyDescent="0.2">
      <c r="B115" s="4" t="s">
        <v>331</v>
      </c>
      <c r="C115" s="38"/>
      <c r="D115" s="4" t="s">
        <v>332</v>
      </c>
      <c r="E115" s="2">
        <f>'11'!K43</f>
        <v>0</v>
      </c>
    </row>
    <row r="116" spans="2:5" ht="15" x14ac:dyDescent="0.2">
      <c r="B116" s="4" t="s">
        <v>335</v>
      </c>
      <c r="C116" s="38"/>
      <c r="D116" s="4" t="s">
        <v>336</v>
      </c>
      <c r="E116" s="2">
        <f>'11'!K52</f>
        <v>0</v>
      </c>
    </row>
    <row r="117" spans="2:5" ht="15" x14ac:dyDescent="0.2">
      <c r="B117" s="4" t="s">
        <v>339</v>
      </c>
      <c r="C117" s="38"/>
      <c r="D117" s="4" t="s">
        <v>340</v>
      </c>
      <c r="E117" s="2">
        <f>'11'!K63</f>
        <v>0</v>
      </c>
    </row>
    <row r="118" spans="2:5" ht="15" x14ac:dyDescent="0.2">
      <c r="B118" s="4" t="s">
        <v>343</v>
      </c>
      <c r="C118" s="38"/>
      <c r="D118" s="4" t="s">
        <v>344</v>
      </c>
      <c r="E118" s="2">
        <f>'11'!K72</f>
        <v>0</v>
      </c>
    </row>
    <row r="119" spans="2:5" ht="15" x14ac:dyDescent="0.2">
      <c r="B119" s="4" t="s">
        <v>345</v>
      </c>
      <c r="C119" s="38"/>
      <c r="D119" s="4" t="s">
        <v>346</v>
      </c>
      <c r="E119" s="2">
        <f>'11'!K79</f>
        <v>0</v>
      </c>
    </row>
    <row r="120" spans="2:5" s="40" customFormat="1" ht="14.25" x14ac:dyDescent="0.2">
      <c r="B120" s="40" t="s">
        <v>347</v>
      </c>
      <c r="C120" s="38"/>
      <c r="D120" s="40" t="s">
        <v>74</v>
      </c>
      <c r="E120" s="41">
        <f>'Estimate Summary'!H37</f>
        <v>0</v>
      </c>
    </row>
    <row r="121" spans="2:5" ht="15" x14ac:dyDescent="0.2">
      <c r="B121" s="4" t="s">
        <v>348</v>
      </c>
      <c r="C121" s="38"/>
      <c r="D121" s="4" t="s">
        <v>349</v>
      </c>
      <c r="E121" s="2">
        <f>'12'!K24</f>
        <v>0</v>
      </c>
    </row>
    <row r="122" spans="2:5" ht="15" x14ac:dyDescent="0.2">
      <c r="B122" s="4" t="s">
        <v>350</v>
      </c>
      <c r="C122" s="38"/>
      <c r="D122" s="4" t="s">
        <v>351</v>
      </c>
      <c r="E122" s="2">
        <f>'12'!K35</f>
        <v>0</v>
      </c>
    </row>
    <row r="123" spans="2:5" ht="15" x14ac:dyDescent="0.2">
      <c r="B123" s="4" t="s">
        <v>352</v>
      </c>
      <c r="C123" s="38"/>
      <c r="D123" s="4" t="s">
        <v>353</v>
      </c>
      <c r="E123" s="2">
        <f>'12'!K43</f>
        <v>0</v>
      </c>
    </row>
    <row r="124" spans="2:5" ht="15" x14ac:dyDescent="0.2">
      <c r="B124" s="4" t="s">
        <v>354</v>
      </c>
      <c r="C124" s="38"/>
      <c r="D124" s="4" t="s">
        <v>356</v>
      </c>
      <c r="E124" s="2">
        <f>'12'!K52</f>
        <v>0</v>
      </c>
    </row>
    <row r="125" spans="2:5" ht="15" x14ac:dyDescent="0.2">
      <c r="B125" s="4" t="s">
        <v>355</v>
      </c>
      <c r="C125" s="38"/>
      <c r="D125" s="4" t="s">
        <v>357</v>
      </c>
      <c r="E125" s="2">
        <f>'12'!K63</f>
        <v>0</v>
      </c>
    </row>
    <row r="126" spans="2:5" ht="15" x14ac:dyDescent="0.2">
      <c r="B126" s="4" t="s">
        <v>359</v>
      </c>
      <c r="C126" s="38"/>
      <c r="D126" s="4" t="s">
        <v>358</v>
      </c>
      <c r="E126" s="2">
        <f>'12'!K72</f>
        <v>0</v>
      </c>
    </row>
    <row r="127" spans="2:5" s="40" customFormat="1" ht="14.25" x14ac:dyDescent="0.2">
      <c r="B127" s="40" t="s">
        <v>360</v>
      </c>
      <c r="C127" s="38"/>
      <c r="D127" s="40" t="s">
        <v>75</v>
      </c>
      <c r="E127" s="41">
        <f>'Estimate Summary'!H39</f>
        <v>0</v>
      </c>
    </row>
    <row r="128" spans="2:5" s="40" customFormat="1" ht="14.25" x14ac:dyDescent="0.2">
      <c r="B128" s="40" t="s">
        <v>361</v>
      </c>
      <c r="C128" s="38"/>
      <c r="D128" s="40" t="s">
        <v>362</v>
      </c>
      <c r="E128" s="41">
        <f>'Estimate Summary'!H41</f>
        <v>0</v>
      </c>
    </row>
    <row r="129" spans="2:5" ht="15" x14ac:dyDescent="0.2">
      <c r="B129" s="4" t="s">
        <v>363</v>
      </c>
      <c r="C129" s="38"/>
      <c r="D129" s="4" t="s">
        <v>67</v>
      </c>
      <c r="E129" s="2">
        <f>'14'!K24</f>
        <v>0</v>
      </c>
    </row>
    <row r="130" spans="2:5" ht="15" x14ac:dyDescent="0.2">
      <c r="B130" s="4" t="s">
        <v>364</v>
      </c>
      <c r="C130" s="38"/>
      <c r="D130" s="4" t="s">
        <v>68</v>
      </c>
      <c r="E130" s="2">
        <f>'14'!K35</f>
        <v>0</v>
      </c>
    </row>
    <row r="131" spans="2:5" ht="15" x14ac:dyDescent="0.2">
      <c r="B131" s="4" t="s">
        <v>366</v>
      </c>
      <c r="C131" s="38"/>
      <c r="D131" s="4" t="s">
        <v>365</v>
      </c>
      <c r="E131" s="2">
        <f>'14'!K43</f>
        <v>0</v>
      </c>
    </row>
    <row r="132" spans="2:5" s="40" customFormat="1" ht="14.25" x14ac:dyDescent="0.2">
      <c r="B132" s="40" t="s">
        <v>367</v>
      </c>
      <c r="C132" s="38"/>
      <c r="D132" s="40" t="s">
        <v>150</v>
      </c>
      <c r="E132" s="41">
        <f>'Estimate Summary'!H43</f>
        <v>6938</v>
      </c>
    </row>
    <row r="133" spans="2:5" ht="15" x14ac:dyDescent="0.2">
      <c r="B133" s="4" t="s">
        <v>368</v>
      </c>
      <c r="C133" s="38"/>
      <c r="D133" s="4" t="s">
        <v>369</v>
      </c>
      <c r="E133" s="2">
        <f>'21'!K24</f>
        <v>6938</v>
      </c>
    </row>
    <row r="134" spans="2:5" s="40" customFormat="1" ht="14.25" x14ac:dyDescent="0.2">
      <c r="B134" s="40" t="s">
        <v>370</v>
      </c>
      <c r="C134" s="38"/>
      <c r="D134" s="40" t="s">
        <v>41</v>
      </c>
      <c r="E134" s="41">
        <f>'Estimate Summary'!H45</f>
        <v>129800</v>
      </c>
    </row>
    <row r="135" spans="2:5" ht="15" x14ac:dyDescent="0.2">
      <c r="B135" s="4" t="s">
        <v>371</v>
      </c>
      <c r="C135" s="38"/>
      <c r="D135" s="4" t="s">
        <v>372</v>
      </c>
      <c r="E135" s="2">
        <f>'22'!K24</f>
        <v>129800</v>
      </c>
    </row>
    <row r="136" spans="2:5" ht="15" x14ac:dyDescent="0.2">
      <c r="B136" s="4" t="s">
        <v>373</v>
      </c>
      <c r="C136" s="38"/>
      <c r="D136" s="4" t="s">
        <v>374</v>
      </c>
      <c r="E136" s="2">
        <f>'22'!K35</f>
        <v>0</v>
      </c>
    </row>
    <row r="137" spans="2:5" ht="15" x14ac:dyDescent="0.2">
      <c r="B137" s="4" t="s">
        <v>379</v>
      </c>
      <c r="C137" s="38"/>
      <c r="D137" s="4" t="s">
        <v>380</v>
      </c>
      <c r="E137" s="2">
        <f>'22'!K46</f>
        <v>0</v>
      </c>
    </row>
    <row r="138" spans="2:5" ht="15" x14ac:dyDescent="0.2">
      <c r="B138" s="4" t="s">
        <v>381</v>
      </c>
      <c r="C138" s="38"/>
      <c r="D138" s="4" t="s">
        <v>382</v>
      </c>
      <c r="E138" s="2">
        <f>'22'!K67</f>
        <v>0</v>
      </c>
    </row>
    <row r="139" spans="2:5" ht="15" x14ac:dyDescent="0.2">
      <c r="B139" s="4" t="s">
        <v>410</v>
      </c>
      <c r="C139" s="38"/>
      <c r="D139" s="4" t="s">
        <v>411</v>
      </c>
      <c r="E139" s="2">
        <f>'22'!K74</f>
        <v>0</v>
      </c>
    </row>
    <row r="140" spans="2:5" ht="15" x14ac:dyDescent="0.2">
      <c r="B140" s="4" t="s">
        <v>416</v>
      </c>
      <c r="C140" s="38"/>
      <c r="D140" s="4" t="s">
        <v>417</v>
      </c>
      <c r="E140" s="2">
        <f>'22'!K83</f>
        <v>0</v>
      </c>
    </row>
    <row r="141" spans="2:5" s="40" customFormat="1" ht="14.25" x14ac:dyDescent="0.2">
      <c r="B141" s="40" t="s">
        <v>418</v>
      </c>
      <c r="C141" s="38"/>
      <c r="D141" s="40" t="s">
        <v>419</v>
      </c>
      <c r="E141" s="41">
        <f>'Estimate Summary'!H47</f>
        <v>37030</v>
      </c>
    </row>
    <row r="142" spans="2:5" ht="15" x14ac:dyDescent="0.2">
      <c r="B142" s="4" t="s">
        <v>420</v>
      </c>
      <c r="C142" s="38"/>
      <c r="D142" s="4" t="s">
        <v>421</v>
      </c>
      <c r="E142" s="2">
        <f>'23'!K18</f>
        <v>37030</v>
      </c>
    </row>
    <row r="143" spans="2:5" ht="15" x14ac:dyDescent="0.2">
      <c r="B143" s="4" t="s">
        <v>422</v>
      </c>
      <c r="C143" s="38"/>
      <c r="D143" s="4" t="s">
        <v>423</v>
      </c>
      <c r="E143" s="2">
        <f>'23'!K25</f>
        <v>0</v>
      </c>
    </row>
    <row r="144" spans="2:5" ht="15" x14ac:dyDescent="0.2">
      <c r="B144" s="4" t="s">
        <v>424</v>
      </c>
      <c r="C144" s="38"/>
      <c r="D144" s="4" t="s">
        <v>425</v>
      </c>
      <c r="E144" s="2">
        <f>'23'!K31</f>
        <v>0</v>
      </c>
    </row>
    <row r="145" spans="2:17" ht="15" x14ac:dyDescent="0.2">
      <c r="B145" s="4" t="s">
        <v>426</v>
      </c>
      <c r="C145" s="38"/>
      <c r="D145" s="4" t="s">
        <v>427</v>
      </c>
      <c r="E145" s="2">
        <f>'23'!K38</f>
        <v>0</v>
      </c>
    </row>
    <row r="146" spans="2:17" ht="15" x14ac:dyDescent="0.2">
      <c r="B146" s="4" t="s">
        <v>430</v>
      </c>
      <c r="C146" s="38"/>
      <c r="D146" s="4" t="s">
        <v>431</v>
      </c>
      <c r="E146" s="2">
        <f>'23'!K46</f>
        <v>0</v>
      </c>
    </row>
    <row r="147" spans="2:17" ht="15" x14ac:dyDescent="0.2">
      <c r="B147" s="4" t="s">
        <v>432</v>
      </c>
      <c r="C147" s="38"/>
      <c r="D147" s="4" t="s">
        <v>433</v>
      </c>
      <c r="E147" s="2">
        <f>'23'!K53</f>
        <v>0</v>
      </c>
    </row>
    <row r="148" spans="2:17" ht="15" x14ac:dyDescent="0.2">
      <c r="B148" s="4" t="s">
        <v>434</v>
      </c>
      <c r="C148" s="38"/>
      <c r="D148" s="4" t="s">
        <v>435</v>
      </c>
      <c r="E148" s="2">
        <f>'23'!K58</f>
        <v>0</v>
      </c>
    </row>
    <row r="149" spans="2:17" ht="15" x14ac:dyDescent="0.2">
      <c r="B149" s="4" t="s">
        <v>436</v>
      </c>
      <c r="C149" s="38"/>
      <c r="D149" s="4" t="s">
        <v>437</v>
      </c>
      <c r="E149" s="2">
        <f>'23'!K73</f>
        <v>0</v>
      </c>
    </row>
    <row r="150" spans="2:17" ht="15" x14ac:dyDescent="0.2">
      <c r="B150" s="4" t="s">
        <v>454</v>
      </c>
      <c r="C150" s="38"/>
      <c r="D150" s="4" t="s">
        <v>455</v>
      </c>
      <c r="E150" s="2">
        <f>'23'!K79</f>
        <v>0</v>
      </c>
    </row>
    <row r="151" spans="2:17" ht="15" x14ac:dyDescent="0.2">
      <c r="B151" s="4" t="s">
        <v>458</v>
      </c>
      <c r="C151" s="38"/>
      <c r="D151" s="4" t="s">
        <v>459</v>
      </c>
      <c r="E151" s="2">
        <f>'23'!K91</f>
        <v>0</v>
      </c>
    </row>
    <row r="152" spans="2:17" s="40" customFormat="1" ht="14.25" x14ac:dyDescent="0.2">
      <c r="B152" s="40" t="s">
        <v>462</v>
      </c>
      <c r="C152" s="38"/>
      <c r="D152" s="40" t="s">
        <v>463</v>
      </c>
      <c r="E152" s="41">
        <f>'Estimate Summary'!H49</f>
        <v>0</v>
      </c>
    </row>
    <row r="153" spans="2:17" s="40" customFormat="1" ht="14.25" x14ac:dyDescent="0.2">
      <c r="B153" s="40" t="s">
        <v>464</v>
      </c>
      <c r="C153" s="38"/>
      <c r="D153" s="40" t="s">
        <v>10</v>
      </c>
      <c r="E153" s="41">
        <f>'Estimate Summary'!H51</f>
        <v>80800</v>
      </c>
    </row>
    <row r="154" spans="2:17" ht="15" x14ac:dyDescent="0.2">
      <c r="B154" s="4" t="s">
        <v>465</v>
      </c>
      <c r="C154" s="38"/>
      <c r="D154" s="4" t="s">
        <v>466</v>
      </c>
      <c r="E154" s="2">
        <f>'26'!K26</f>
        <v>80800</v>
      </c>
      <c r="P154" s="8"/>
      <c r="Q154" s="5"/>
    </row>
    <row r="155" spans="2:17" ht="15" x14ac:dyDescent="0.2">
      <c r="B155" s="4" t="s">
        <v>467</v>
      </c>
      <c r="C155" s="38"/>
      <c r="D155" s="4" t="s">
        <v>468</v>
      </c>
      <c r="E155" s="2">
        <f>'26'!K37</f>
        <v>0</v>
      </c>
      <c r="P155" s="8"/>
      <c r="Q155" s="5"/>
    </row>
    <row r="156" spans="2:17" ht="15" x14ac:dyDescent="0.2">
      <c r="B156" s="4" t="s">
        <v>479</v>
      </c>
      <c r="C156" s="38"/>
      <c r="D156" s="4" t="s">
        <v>80</v>
      </c>
      <c r="E156" s="2">
        <f>'26'!K45</f>
        <v>0</v>
      </c>
      <c r="P156" s="8"/>
      <c r="Q156" s="5"/>
    </row>
    <row r="157" spans="2:17" s="40" customFormat="1" ht="15" x14ac:dyDescent="0.25">
      <c r="B157" s="40" t="s">
        <v>486</v>
      </c>
      <c r="C157" s="38"/>
      <c r="D157" s="40" t="s">
        <v>487</v>
      </c>
      <c r="E157" s="41">
        <f>'Estimate Summary'!H53</f>
        <v>0</v>
      </c>
      <c r="P157" s="44"/>
      <c r="Q157" s="43"/>
    </row>
    <row r="158" spans="2:17" ht="15" x14ac:dyDescent="0.2">
      <c r="B158" s="4" t="s">
        <v>488</v>
      </c>
      <c r="C158" s="38"/>
      <c r="D158" s="4" t="s">
        <v>489</v>
      </c>
      <c r="E158" s="2">
        <f>'27'!K24</f>
        <v>0</v>
      </c>
      <c r="P158" s="9"/>
      <c r="Q158" s="5"/>
    </row>
    <row r="159" spans="2:17" ht="15" x14ac:dyDescent="0.2">
      <c r="B159" s="4" t="s">
        <v>490</v>
      </c>
      <c r="C159" s="38"/>
      <c r="D159" s="4" t="s">
        <v>491</v>
      </c>
      <c r="E159" s="2">
        <f>'27'!K35</f>
        <v>0</v>
      </c>
      <c r="P159" s="9"/>
      <c r="Q159" s="5"/>
    </row>
    <row r="160" spans="2:17" ht="15" x14ac:dyDescent="0.2">
      <c r="B160" s="4" t="s">
        <v>496</v>
      </c>
      <c r="C160" s="38"/>
      <c r="D160" s="4" t="s">
        <v>497</v>
      </c>
      <c r="E160" s="2">
        <f>'27'!K43</f>
        <v>0</v>
      </c>
      <c r="P160" s="9"/>
      <c r="Q160" s="5"/>
    </row>
    <row r="161" spans="2:17" ht="15" x14ac:dyDescent="0.2">
      <c r="B161" s="4" t="s">
        <v>498</v>
      </c>
      <c r="C161" s="38"/>
      <c r="D161" s="4" t="s">
        <v>499</v>
      </c>
      <c r="E161" s="2">
        <f>'27'!K52</f>
        <v>0</v>
      </c>
      <c r="P161" s="10"/>
      <c r="Q161" s="7"/>
    </row>
    <row r="162" spans="2:17" ht="15" x14ac:dyDescent="0.2">
      <c r="B162" s="4" t="s">
        <v>500</v>
      </c>
      <c r="C162" s="38"/>
      <c r="D162" s="4" t="s">
        <v>501</v>
      </c>
      <c r="E162" s="2">
        <f>'27'!K63</f>
        <v>0</v>
      </c>
      <c r="P162" s="10"/>
      <c r="Q162" s="7"/>
    </row>
    <row r="163" spans="2:17" s="40" customFormat="1" ht="15" x14ac:dyDescent="0.25">
      <c r="B163" s="40" t="s">
        <v>502</v>
      </c>
      <c r="C163" s="38"/>
      <c r="D163" s="40" t="s">
        <v>503</v>
      </c>
      <c r="E163" s="41">
        <f>'Estimate Summary'!H55</f>
        <v>0</v>
      </c>
      <c r="P163" s="42"/>
      <c r="Q163" s="43"/>
    </row>
    <row r="164" spans="2:17" ht="15" x14ac:dyDescent="0.2">
      <c r="B164" s="4" t="s">
        <v>504</v>
      </c>
      <c r="C164" s="38"/>
      <c r="D164" s="4" t="s">
        <v>505</v>
      </c>
      <c r="E164" s="2">
        <f>'28'!K24</f>
        <v>0</v>
      </c>
      <c r="P164" s="8"/>
      <c r="Q164" s="5"/>
    </row>
    <row r="165" spans="2:17" ht="15" x14ac:dyDescent="0.2">
      <c r="B165" s="4" t="s">
        <v>508</v>
      </c>
      <c r="C165" s="38"/>
      <c r="D165" s="4" t="s">
        <v>509</v>
      </c>
      <c r="E165" s="2">
        <f>'28'!K35</f>
        <v>0</v>
      </c>
      <c r="P165" s="8"/>
      <c r="Q165" s="5"/>
    </row>
    <row r="166" spans="2:17" ht="15" x14ac:dyDescent="0.2">
      <c r="B166" s="4" t="s">
        <v>510</v>
      </c>
      <c r="C166" s="38"/>
      <c r="D166" s="4" t="s">
        <v>511</v>
      </c>
      <c r="E166" s="2">
        <f>'28'!K43</f>
        <v>0</v>
      </c>
      <c r="P166" s="8"/>
      <c r="Q166" s="5"/>
    </row>
    <row r="167" spans="2:17" ht="15" x14ac:dyDescent="0.2">
      <c r="B167" s="4" t="s">
        <v>512</v>
      </c>
      <c r="C167" s="38"/>
      <c r="D167" s="4" t="s">
        <v>514</v>
      </c>
      <c r="E167" s="2">
        <f>'28'!K52</f>
        <v>0</v>
      </c>
      <c r="P167" s="10"/>
      <c r="Q167" s="5"/>
    </row>
    <row r="168" spans="2:17" s="40" customFormat="1" ht="14.25" x14ac:dyDescent="0.2">
      <c r="B168" s="40" t="s">
        <v>516</v>
      </c>
      <c r="C168" s="38"/>
      <c r="D168" s="40" t="s">
        <v>517</v>
      </c>
      <c r="E168" s="41">
        <f>'Estimate Summary'!H57</f>
        <v>0</v>
      </c>
    </row>
    <row r="169" spans="2:17" ht="15" x14ac:dyDescent="0.2">
      <c r="B169" s="4" t="s">
        <v>518</v>
      </c>
      <c r="C169" s="38"/>
      <c r="D169" s="4" t="s">
        <v>519</v>
      </c>
      <c r="E169" s="2">
        <f>'31'!K26</f>
        <v>0</v>
      </c>
    </row>
    <row r="170" spans="2:17" ht="15" x14ac:dyDescent="0.2">
      <c r="B170" s="4" t="s">
        <v>522</v>
      </c>
      <c r="C170" s="38"/>
      <c r="D170" s="4" t="s">
        <v>523</v>
      </c>
      <c r="E170" s="2">
        <f>'31'!K49</f>
        <v>0</v>
      </c>
    </row>
    <row r="171" spans="2:17" ht="15" x14ac:dyDescent="0.2">
      <c r="B171" s="4" t="s">
        <v>558</v>
      </c>
      <c r="C171" s="38"/>
      <c r="D171" s="4" t="s">
        <v>557</v>
      </c>
      <c r="E171" s="2">
        <f>'31'!K57</f>
        <v>0</v>
      </c>
    </row>
    <row r="172" spans="2:17" ht="15" x14ac:dyDescent="0.2">
      <c r="B172" s="4" t="s">
        <v>559</v>
      </c>
      <c r="C172" s="38"/>
      <c r="D172" s="4" t="s">
        <v>560</v>
      </c>
      <c r="E172" s="2">
        <f>'31'!K66</f>
        <v>0</v>
      </c>
    </row>
    <row r="173" spans="2:17" s="40" customFormat="1" ht="14.25" x14ac:dyDescent="0.2">
      <c r="B173" s="40" t="s">
        <v>561</v>
      </c>
      <c r="C173" s="38"/>
      <c r="D173" s="40" t="s">
        <v>562</v>
      </c>
      <c r="E173" s="41">
        <f>'Estimate Summary'!H59</f>
        <v>0</v>
      </c>
    </row>
    <row r="174" spans="2:17" ht="15" x14ac:dyDescent="0.2">
      <c r="B174" s="4" t="s">
        <v>563</v>
      </c>
      <c r="C174" s="38"/>
      <c r="D174" s="4" t="s">
        <v>564</v>
      </c>
      <c r="E174" s="2">
        <f>'32'!K21</f>
        <v>0</v>
      </c>
    </row>
    <row r="175" spans="2:17" ht="15" x14ac:dyDescent="0.2">
      <c r="B175" s="4" t="s">
        <v>571</v>
      </c>
      <c r="C175" s="38"/>
      <c r="D175" s="4" t="s">
        <v>572</v>
      </c>
      <c r="E175" s="2">
        <f>'32'!K33</f>
        <v>0</v>
      </c>
    </row>
    <row r="176" spans="2:17" ht="15" x14ac:dyDescent="0.2">
      <c r="B176" s="4" t="s">
        <v>588</v>
      </c>
      <c r="C176" s="38"/>
      <c r="D176" s="4" t="s">
        <v>589</v>
      </c>
      <c r="E176" s="2">
        <f>'32'!K41</f>
        <v>0</v>
      </c>
    </row>
    <row r="177" spans="2:5" ht="15" x14ac:dyDescent="0.2">
      <c r="B177" s="4" t="s">
        <v>594</v>
      </c>
      <c r="C177" s="38"/>
      <c r="D177" s="4" t="s">
        <v>595</v>
      </c>
      <c r="E177" s="2">
        <f>'32'!K50</f>
        <v>0</v>
      </c>
    </row>
    <row r="178" spans="2:5" ht="15" x14ac:dyDescent="0.2">
      <c r="B178" s="4" t="s">
        <v>604</v>
      </c>
      <c r="C178" s="38"/>
      <c r="D178" s="4" t="s">
        <v>605</v>
      </c>
      <c r="E178" s="2">
        <f>'32'!K61</f>
        <v>0</v>
      </c>
    </row>
    <row r="179" spans="2:5" s="40" customFormat="1" ht="14.25" x14ac:dyDescent="0.2">
      <c r="B179" s="40" t="s">
        <v>612</v>
      </c>
      <c r="C179" s="38"/>
      <c r="D179" s="40" t="s">
        <v>613</v>
      </c>
      <c r="E179" s="41">
        <f>'Estimate Summary'!H61</f>
        <v>0</v>
      </c>
    </row>
    <row r="180" spans="2:5" ht="15" x14ac:dyDescent="0.2">
      <c r="B180" s="4" t="s">
        <v>614</v>
      </c>
      <c r="C180" s="38"/>
      <c r="D180" s="4" t="s">
        <v>615</v>
      </c>
      <c r="E180" s="2">
        <f>'33'!K26</f>
        <v>0</v>
      </c>
    </row>
    <row r="181" spans="2:5" ht="15" x14ac:dyDescent="0.2">
      <c r="B181" s="4" t="s">
        <v>620</v>
      </c>
      <c r="C181" s="38"/>
      <c r="D181" s="4" t="s">
        <v>621</v>
      </c>
      <c r="E181" s="2">
        <f>'33'!K37</f>
        <v>0</v>
      </c>
    </row>
    <row r="182" spans="2:5" ht="15" x14ac:dyDescent="0.2">
      <c r="B182" s="4" t="s">
        <v>636</v>
      </c>
      <c r="C182" s="38"/>
      <c r="D182" s="4" t="s">
        <v>637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J18" sqref="J18"/>
    </sheetView>
  </sheetViews>
  <sheetFormatPr defaultColWidth="11.42578125" defaultRowHeight="12.75" x14ac:dyDescent="0.2"/>
  <cols>
    <col min="1" max="1" width="17" bestFit="1" customWidth="1"/>
    <col min="2" max="2" width="16.5703125" bestFit="1" customWidth="1"/>
    <col min="3" max="3" width="10.5703125" bestFit="1" customWidth="1"/>
    <col min="4" max="4" width="12.85546875" customWidth="1"/>
    <col min="5" max="5" width="14.140625" bestFit="1" customWidth="1"/>
    <col min="6" max="6" width="24.140625" bestFit="1" customWidth="1"/>
    <col min="7" max="7" width="19.5703125" bestFit="1" customWidth="1"/>
    <col min="8" max="8" width="25" customWidth="1"/>
    <col min="9" max="9" width="6.85546875" bestFit="1" customWidth="1"/>
    <col min="10" max="10" width="18.42578125" bestFit="1" customWidth="1"/>
    <col min="11" max="11" width="22.42578125" bestFit="1" customWidth="1"/>
    <col min="12" max="12" width="32.42578125" bestFit="1" customWidth="1"/>
    <col min="13" max="13" width="30.85546875" customWidth="1"/>
    <col min="14" max="14" width="12.5703125" bestFit="1" customWidth="1"/>
    <col min="15" max="15" width="14.42578125" bestFit="1" customWidth="1"/>
    <col min="16" max="16" width="21" bestFit="1" customWidth="1"/>
    <col min="17" max="17" width="10" bestFit="1" customWidth="1"/>
    <col min="18" max="18" width="12.85546875" bestFit="1" customWidth="1"/>
    <col min="19" max="19" width="11.85546875" bestFit="1" customWidth="1"/>
    <col min="20" max="20" width="32.5703125" bestFit="1" customWidth="1"/>
  </cols>
  <sheetData>
    <row r="1" spans="1:20" x14ac:dyDescent="0.2">
      <c r="A1" s="142"/>
      <c r="L1" s="13"/>
      <c r="M1" s="13"/>
      <c r="O1" s="13"/>
      <c r="P1" s="13"/>
      <c r="Q1" s="52"/>
    </row>
    <row r="2" spans="1:20" s="3" customFormat="1" ht="15" x14ac:dyDescent="0.2">
      <c r="A2" s="142"/>
      <c r="B2" t="s">
        <v>928</v>
      </c>
      <c r="C2" t="s">
        <v>961</v>
      </c>
      <c r="D2" t="s">
        <v>735</v>
      </c>
      <c r="E2"/>
      <c r="G2"/>
      <c r="H2" t="s">
        <v>929</v>
      </c>
      <c r="I2"/>
      <c r="J2" t="s">
        <v>930</v>
      </c>
      <c r="K2" t="s">
        <v>745</v>
      </c>
      <c r="L2" s="13"/>
      <c r="M2" s="150" t="s">
        <v>785</v>
      </c>
      <c r="N2" s="151" t="s">
        <v>967</v>
      </c>
      <c r="O2" s="13"/>
      <c r="P2" s="13"/>
      <c r="Q2" s="52"/>
      <c r="R2"/>
      <c r="S2"/>
      <c r="T2"/>
    </row>
    <row r="3" spans="1:20" x14ac:dyDescent="0.2">
      <c r="A3" s="142"/>
      <c r="B3" t="s">
        <v>931</v>
      </c>
      <c r="D3" t="s">
        <v>932</v>
      </c>
      <c r="H3" t="s">
        <v>962</v>
      </c>
      <c r="J3" t="s">
        <v>933</v>
      </c>
      <c r="K3" t="s">
        <v>934</v>
      </c>
      <c r="L3" s="13"/>
      <c r="M3" s="152" t="s">
        <v>786</v>
      </c>
      <c r="N3" s="153" t="s">
        <v>968</v>
      </c>
      <c r="O3" s="13"/>
      <c r="P3" s="13"/>
      <c r="Q3" s="52"/>
    </row>
    <row r="4" spans="1:20" ht="15.75" x14ac:dyDescent="0.25">
      <c r="A4" s="142"/>
      <c r="B4" t="s">
        <v>936</v>
      </c>
      <c r="D4" t="s">
        <v>937</v>
      </c>
      <c r="H4" t="s">
        <v>941</v>
      </c>
      <c r="J4" t="s">
        <v>938</v>
      </c>
      <c r="K4" t="s">
        <v>939</v>
      </c>
      <c r="L4" s="13"/>
      <c r="M4" s="152" t="s">
        <v>969</v>
      </c>
      <c r="N4" s="153" t="s">
        <v>970</v>
      </c>
      <c r="O4" s="13"/>
      <c r="P4" s="13"/>
      <c r="Q4" s="52"/>
      <c r="R4" s="143" t="s">
        <v>747</v>
      </c>
      <c r="T4" t="s">
        <v>935</v>
      </c>
    </row>
    <row r="5" spans="1:20" x14ac:dyDescent="0.2">
      <c r="A5" s="142"/>
      <c r="B5" t="s">
        <v>943</v>
      </c>
      <c r="D5" t="s">
        <v>944</v>
      </c>
      <c r="H5" t="s">
        <v>947</v>
      </c>
      <c r="J5" t="s">
        <v>945</v>
      </c>
      <c r="L5" s="13"/>
      <c r="M5" s="152" t="s">
        <v>824</v>
      </c>
      <c r="N5" s="153" t="s">
        <v>971</v>
      </c>
      <c r="O5" s="13"/>
      <c r="P5" s="13"/>
      <c r="Q5" s="52"/>
      <c r="R5" s="144" t="s">
        <v>940</v>
      </c>
      <c r="T5" t="s">
        <v>942</v>
      </c>
    </row>
    <row r="6" spans="1:20" x14ac:dyDescent="0.2">
      <c r="A6" s="142"/>
      <c r="B6" t="s">
        <v>949</v>
      </c>
      <c r="D6" t="s">
        <v>950</v>
      </c>
      <c r="H6" t="s">
        <v>974</v>
      </c>
      <c r="J6" t="s">
        <v>951</v>
      </c>
      <c r="L6" s="13"/>
      <c r="M6" s="154" t="s">
        <v>972</v>
      </c>
      <c r="N6" s="155" t="s">
        <v>973</v>
      </c>
      <c r="O6" s="13"/>
      <c r="P6" s="13"/>
      <c r="Q6" s="52"/>
      <c r="R6" s="145" t="s">
        <v>946</v>
      </c>
      <c r="T6" t="s">
        <v>948</v>
      </c>
    </row>
    <row r="7" spans="1:20" x14ac:dyDescent="0.2">
      <c r="A7" s="142"/>
      <c r="L7" s="13"/>
      <c r="M7" s="13"/>
      <c r="O7" s="13"/>
      <c r="P7" s="13"/>
      <c r="Q7" s="52"/>
      <c r="R7" s="146" t="s">
        <v>952</v>
      </c>
    </row>
    <row r="8" spans="1:20" x14ac:dyDescent="0.2">
      <c r="A8" s="142"/>
      <c r="L8" s="13"/>
      <c r="M8" s="13"/>
      <c r="O8" s="13"/>
      <c r="P8" s="13"/>
      <c r="Q8" s="52"/>
      <c r="R8" s="145"/>
    </row>
    <row r="9" spans="1:20" x14ac:dyDescent="0.2">
      <c r="A9" s="142"/>
      <c r="L9" s="13"/>
      <c r="M9" s="13"/>
      <c r="O9" s="13"/>
      <c r="P9" s="13"/>
      <c r="Q9" s="52"/>
      <c r="R9" s="144"/>
    </row>
    <row r="10" spans="1:20" ht="15" x14ac:dyDescent="0.2">
      <c r="A10" s="147" t="s">
        <v>957</v>
      </c>
      <c r="B10" s="148" t="s">
        <v>775</v>
      </c>
      <c r="C10" s="148" t="s">
        <v>928</v>
      </c>
      <c r="D10" s="3" t="s">
        <v>735</v>
      </c>
      <c r="E10" s="3" t="s">
        <v>736</v>
      </c>
      <c r="F10" s="3" t="s">
        <v>980</v>
      </c>
      <c r="G10" s="3" t="s">
        <v>737</v>
      </c>
      <c r="H10" s="3" t="s">
        <v>964</v>
      </c>
      <c r="I10" s="3" t="s">
        <v>738</v>
      </c>
      <c r="J10" s="3" t="s">
        <v>744</v>
      </c>
      <c r="K10" s="3" t="s">
        <v>745</v>
      </c>
      <c r="L10" s="53" t="s">
        <v>739</v>
      </c>
      <c r="M10" s="53" t="s">
        <v>965</v>
      </c>
      <c r="N10" s="3" t="s">
        <v>71</v>
      </c>
      <c r="O10" s="53" t="s">
        <v>83</v>
      </c>
      <c r="P10" s="53" t="s">
        <v>740</v>
      </c>
      <c r="Q10" s="54" t="s">
        <v>85</v>
      </c>
      <c r="R10" s="3" t="s">
        <v>747</v>
      </c>
      <c r="S10" s="3" t="s">
        <v>748</v>
      </c>
      <c r="T10" s="3" t="s">
        <v>966</v>
      </c>
    </row>
    <row r="11" spans="1:20" x14ac:dyDescent="0.2">
      <c r="A11" s="825">
        <f>+'Estimate Summary'!B3</f>
        <v>46030</v>
      </c>
      <c r="B11" s="826">
        <f>+'Estimate Summary'!B7</f>
        <v>2026</v>
      </c>
      <c r="C11" s="810" t="str">
        <f>+'Estimate Summary'!B8</f>
        <v>Q1</v>
      </c>
      <c r="D11" t="str">
        <f>+'Estimate Summary'!B5</f>
        <v>NB</v>
      </c>
      <c r="E11" s="2" t="str">
        <f>'Estimate Summary'!B6</f>
        <v>Moncton</v>
      </c>
      <c r="F11">
        <f>'Estimate Summary'!B4</f>
        <v>3041</v>
      </c>
      <c r="G11" s="2" t="str">
        <f>'Estimate Summary'!D5</f>
        <v>Dr. Goel Dental Office</v>
      </c>
      <c r="H11" s="2">
        <f>+'Estimate Summary'!F8</f>
        <v>0</v>
      </c>
      <c r="I11" s="149">
        <f>+'Estimate Summary'!D11</f>
        <v>1747</v>
      </c>
      <c r="J11" s="2" t="str">
        <f>'Estimate Summary'!D7</f>
        <v>CCDC 5B</v>
      </c>
      <c r="K11" s="2" t="str">
        <f>+'Estimate Summary'!D8</f>
        <v>Fixed Fee</v>
      </c>
      <c r="L11" s="2">
        <f>+'Estimate Summary'!D75</f>
        <v>760983.55698960007</v>
      </c>
      <c r="M11" s="2" t="str">
        <f>IF(L11&lt;100000,"E",IF(L11&lt;500000,"D",IF(L11&lt;2000000,"C",IF(L11&lt;5000000,"B",IF(L11&gt;=5000000,"A")))))</f>
        <v>C</v>
      </c>
      <c r="N11">
        <f>'Estimate Summary'!D81</f>
        <v>13</v>
      </c>
      <c r="O11" s="2">
        <f>'Estimate Summary'!D82</f>
        <v>95539.7399</v>
      </c>
      <c r="P11" s="21">
        <f>'Estimate Summary'!E82</f>
        <v>7349.2107615384612</v>
      </c>
      <c r="Q11" s="22">
        <f>'Estimate Summary'!D84</f>
        <v>0.12554770602133483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3"/>
  <sheetViews>
    <sheetView view="pageBreakPreview" topLeftCell="A76" zoomScale="85" zoomScaleNormal="100" zoomScaleSheetLayoutView="85" zoomScalePageLayoutView="75" workbookViewId="0">
      <selection activeCell="D162" sqref="D162:E162"/>
    </sheetView>
  </sheetViews>
  <sheetFormatPr defaultColWidth="11.42578125" defaultRowHeight="12.75" x14ac:dyDescent="0.2"/>
  <cols>
    <col min="1" max="1" width="2.42578125" customWidth="1"/>
    <col min="2" max="2" width="17.140625" style="12" customWidth="1"/>
    <col min="3" max="3" width="55.85546875" style="16" customWidth="1"/>
    <col min="4" max="4" width="25.5703125" customWidth="1"/>
    <col min="5" max="5" width="22" customWidth="1"/>
    <col min="6" max="6" width="2.5703125" customWidth="1"/>
    <col min="7" max="7" width="24" customWidth="1"/>
    <col min="8" max="8" width="18.7109375" customWidth="1"/>
    <col min="9" max="9" width="3.5703125" customWidth="1"/>
    <col min="10" max="10" width="41.5703125" style="1" customWidth="1"/>
    <col min="11" max="11" width="25.42578125" customWidth="1"/>
    <col min="12" max="12" width="2.140625" customWidth="1"/>
    <col min="13" max="13" width="14" bestFit="1" customWidth="1"/>
  </cols>
  <sheetData>
    <row r="1" spans="2:12" ht="13.5" thickBot="1" x14ac:dyDescent="0.25"/>
    <row r="2" spans="2:12" ht="30" customHeight="1" thickTop="1" x14ac:dyDescent="0.2">
      <c r="B2" s="901" t="str">
        <f>'Estimate Summary'!D5</f>
        <v>Dr. Goel Dental Office</v>
      </c>
      <c r="C2" s="902"/>
      <c r="D2" s="90"/>
      <c r="E2" s="90"/>
      <c r="F2" s="90"/>
      <c r="G2" s="90"/>
      <c r="H2" s="90"/>
      <c r="I2" s="903" t="s">
        <v>958</v>
      </c>
      <c r="J2" s="903"/>
      <c r="K2" s="904"/>
    </row>
    <row r="3" spans="2:12" ht="26.1" customHeight="1" x14ac:dyDescent="0.2">
      <c r="B3" s="909" t="str">
        <f>'Estimate Summary'!D6</f>
        <v xml:space="preserve">Dr. Goel  </v>
      </c>
      <c r="C3" s="910"/>
      <c r="D3" s="91"/>
      <c r="E3" s="91"/>
      <c r="F3" s="91"/>
      <c r="G3" s="91"/>
      <c r="H3" s="91"/>
      <c r="I3" s="905"/>
      <c r="J3" s="905"/>
      <c r="K3" s="906"/>
    </row>
    <row r="4" spans="2:12" ht="24" customHeight="1" x14ac:dyDescent="0.2">
      <c r="B4" s="93" t="s">
        <v>776</v>
      </c>
      <c r="C4" s="94">
        <f>'Estimate Summary'!B3</f>
        <v>46030</v>
      </c>
      <c r="D4" s="92"/>
      <c r="E4" s="92"/>
      <c r="F4" s="92"/>
      <c r="G4" s="92"/>
      <c r="H4" s="92"/>
      <c r="I4" s="907"/>
      <c r="J4" s="907"/>
      <c r="K4" s="908"/>
    </row>
    <row r="5" spans="2:12" x14ac:dyDescent="0.2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2" x14ac:dyDescent="0.2">
      <c r="B6" s="63"/>
      <c r="C6" s="55"/>
      <c r="D6" s="916"/>
      <c r="E6" s="916"/>
      <c r="F6" s="55"/>
      <c r="G6" s="916"/>
      <c r="H6" s="916"/>
      <c r="I6" s="56"/>
      <c r="J6" s="57"/>
      <c r="K6" s="64"/>
      <c r="L6" s="23"/>
    </row>
    <row r="7" spans="2:12" ht="13.5" thickBot="1" x14ac:dyDescent="0.25">
      <c r="B7" s="63"/>
      <c r="C7" s="55"/>
      <c r="D7" s="917">
        <v>45839</v>
      </c>
      <c r="E7" s="918"/>
      <c r="F7" s="55"/>
      <c r="G7" s="917">
        <v>46023</v>
      </c>
      <c r="H7" s="918">
        <f>'Estimate Summary'!G8</f>
        <v>0</v>
      </c>
      <c r="I7" s="56"/>
      <c r="J7" s="57"/>
      <c r="K7" s="64"/>
      <c r="L7" s="23"/>
    </row>
    <row r="8" spans="2:12" s="101" customFormat="1" ht="21.6" customHeight="1" x14ac:dyDescent="0.2">
      <c r="B8" s="95" t="s">
        <v>684</v>
      </c>
      <c r="C8" s="96" t="s">
        <v>3</v>
      </c>
      <c r="D8" s="97"/>
      <c r="E8" s="98">
        <f>SUM(D9:D17)</f>
        <v>126486.20840533335</v>
      </c>
      <c r="F8" s="102"/>
      <c r="G8" s="97"/>
      <c r="H8" s="98">
        <f>SUM(G9:G17)</f>
        <v>125764.00475199999</v>
      </c>
      <c r="I8" s="97"/>
      <c r="J8" s="99" t="str">
        <f>IF(H8&gt;E8,"Increase","Decrease or No Change")</f>
        <v>Decrease or No Change</v>
      </c>
      <c r="K8" s="100">
        <f>H8-E8</f>
        <v>-722.2036533333594</v>
      </c>
    </row>
    <row r="9" spans="2:12" s="101" customFormat="1" ht="18" customHeight="1" x14ac:dyDescent="0.2">
      <c r="B9" s="132" t="s">
        <v>101</v>
      </c>
      <c r="C9" s="133" t="s">
        <v>100</v>
      </c>
      <c r="D9" s="114">
        <v>56200</v>
      </c>
      <c r="E9" s="113"/>
      <c r="F9" s="112"/>
      <c r="G9" s="114">
        <f>'1'!K24</f>
        <v>52700</v>
      </c>
      <c r="H9" s="114"/>
      <c r="I9" s="112"/>
      <c r="J9" s="113"/>
      <c r="K9" s="115"/>
    </row>
    <row r="10" spans="2:12" s="101" customFormat="1" ht="18" customHeight="1" x14ac:dyDescent="0.2">
      <c r="B10" s="134" t="s">
        <v>102</v>
      </c>
      <c r="C10" s="135" t="s">
        <v>103</v>
      </c>
      <c r="D10" s="114">
        <v>57200</v>
      </c>
      <c r="E10" s="113"/>
      <c r="F10" s="112"/>
      <c r="G10" s="114">
        <f>'1'!K35</f>
        <v>57200</v>
      </c>
      <c r="H10" s="114"/>
      <c r="I10" s="112"/>
      <c r="J10" s="113"/>
      <c r="K10" s="115"/>
    </row>
    <row r="11" spans="2:12" s="101" customFormat="1" ht="18" customHeight="1" x14ac:dyDescent="0.2">
      <c r="B11" s="134" t="s">
        <v>104</v>
      </c>
      <c r="C11" s="135" t="s">
        <v>105</v>
      </c>
      <c r="D11" s="114">
        <v>2914.7552533333333</v>
      </c>
      <c r="E11" s="113"/>
      <c r="F11" s="112"/>
      <c r="G11" s="114">
        <f>'1'!K67</f>
        <v>2816.89</v>
      </c>
      <c r="H11" s="114"/>
      <c r="I11" s="112"/>
      <c r="J11" s="113"/>
      <c r="K11" s="115"/>
    </row>
    <row r="12" spans="2:12" s="101" customFormat="1" ht="18" customHeight="1" x14ac:dyDescent="0.2">
      <c r="B12" s="134" t="s">
        <v>143</v>
      </c>
      <c r="C12" s="135" t="s">
        <v>927</v>
      </c>
      <c r="D12" s="114">
        <v>699.54126080000003</v>
      </c>
      <c r="E12" s="113"/>
      <c r="F12" s="112"/>
      <c r="G12" s="114">
        <f>'1'!K45</f>
        <v>1150.0459008</v>
      </c>
      <c r="H12" s="114"/>
      <c r="I12" s="112"/>
      <c r="J12" s="113"/>
      <c r="K12" s="115"/>
    </row>
    <row r="13" spans="2:12" s="101" customFormat="1" ht="18" hidden="1" customHeight="1" x14ac:dyDescent="0.2">
      <c r="B13" s="134" t="s">
        <v>106</v>
      </c>
      <c r="C13" s="135" t="s">
        <v>107</v>
      </c>
      <c r="D13" s="114">
        <v>0</v>
      </c>
      <c r="E13" s="113"/>
      <c r="F13" s="112"/>
      <c r="G13" s="114">
        <f>'1'!K87</f>
        <v>0</v>
      </c>
      <c r="H13" s="114"/>
      <c r="I13" s="112"/>
      <c r="J13" s="113"/>
      <c r="K13" s="115"/>
    </row>
    <row r="14" spans="2:12" s="101" customFormat="1" ht="18" customHeight="1" x14ac:dyDescent="0.2">
      <c r="B14" s="134" t="s">
        <v>109</v>
      </c>
      <c r="C14" s="135" t="s">
        <v>108</v>
      </c>
      <c r="D14" s="114">
        <v>2025.3894236666667</v>
      </c>
      <c r="E14" s="113"/>
      <c r="F14" s="112"/>
      <c r="G14" s="114">
        <f>'1'!K97</f>
        <v>2154.4402319999999</v>
      </c>
      <c r="H14" s="114"/>
      <c r="I14" s="112"/>
      <c r="J14" s="113"/>
      <c r="K14" s="115"/>
    </row>
    <row r="15" spans="2:12" s="101" customFormat="1" ht="18" customHeight="1" x14ac:dyDescent="0.2">
      <c r="B15" s="134" t="s">
        <v>110</v>
      </c>
      <c r="C15" s="135" t="s">
        <v>111</v>
      </c>
      <c r="D15" s="114">
        <v>848.92246753333336</v>
      </c>
      <c r="E15" s="113"/>
      <c r="F15" s="112"/>
      <c r="G15" s="114">
        <f>'1'!K105</f>
        <v>1395.6286192000002</v>
      </c>
      <c r="H15" s="114"/>
      <c r="I15" s="112"/>
      <c r="J15" s="113"/>
      <c r="K15" s="115"/>
    </row>
    <row r="16" spans="2:12" s="101" customFormat="1" ht="18" customHeight="1" x14ac:dyDescent="0.2">
      <c r="B16" s="134" t="s">
        <v>112</v>
      </c>
      <c r="C16" s="135" t="s">
        <v>113</v>
      </c>
      <c r="D16" s="114">
        <v>3000</v>
      </c>
      <c r="E16" s="113"/>
      <c r="F16" s="112"/>
      <c r="G16" s="114">
        <f>'1'!K128</f>
        <v>3000</v>
      </c>
      <c r="H16" s="114"/>
      <c r="I16" s="112"/>
      <c r="J16" s="113"/>
      <c r="K16" s="115"/>
    </row>
    <row r="17" spans="2:11" s="101" customFormat="1" ht="18" customHeight="1" thickBot="1" x14ac:dyDescent="0.25">
      <c r="B17" s="136" t="s">
        <v>114</v>
      </c>
      <c r="C17" s="137" t="s">
        <v>115</v>
      </c>
      <c r="D17" s="119">
        <v>3597.6000000000004</v>
      </c>
      <c r="E17" s="118"/>
      <c r="F17" s="117"/>
      <c r="G17" s="119">
        <f>'1'!K136</f>
        <v>5347</v>
      </c>
      <c r="H17" s="119"/>
      <c r="I17" s="117"/>
      <c r="J17" s="118"/>
      <c r="K17" s="120"/>
    </row>
    <row r="18" spans="2:11" ht="6.95" customHeight="1" thickBot="1" x14ac:dyDescent="0.3">
      <c r="B18" s="74"/>
      <c r="C18" s="75"/>
      <c r="D18" s="76"/>
      <c r="E18" s="75"/>
      <c r="F18" s="77"/>
      <c r="G18" s="76"/>
      <c r="H18" s="76"/>
      <c r="I18" s="77"/>
      <c r="J18" s="78"/>
      <c r="K18" s="76"/>
    </row>
    <row r="19" spans="2:11" s="101" customFormat="1" ht="21.6" customHeight="1" x14ac:dyDescent="0.2">
      <c r="B19" s="95" t="s">
        <v>152</v>
      </c>
      <c r="C19" s="96" t="s">
        <v>154</v>
      </c>
      <c r="D19" s="97"/>
      <c r="E19" s="98">
        <f>SUM(D20:D22)</f>
        <v>16615</v>
      </c>
      <c r="F19" s="102"/>
      <c r="G19" s="97"/>
      <c r="H19" s="98">
        <f>SUM(G20:G22)</f>
        <v>11586</v>
      </c>
      <c r="I19" s="97"/>
      <c r="J19" s="99" t="str">
        <f>IF(H19&gt;E19,"Increase","Decrease or No Change")</f>
        <v>Decrease or No Change</v>
      </c>
      <c r="K19" s="100">
        <f>H19-E19</f>
        <v>-5029</v>
      </c>
    </row>
    <row r="20" spans="2:11" s="101" customFormat="1" ht="18" customHeight="1" x14ac:dyDescent="0.2">
      <c r="B20" s="129" t="s">
        <v>153</v>
      </c>
      <c r="C20" s="127" t="s">
        <v>76</v>
      </c>
      <c r="D20" s="114">
        <v>8735</v>
      </c>
      <c r="E20" s="113"/>
      <c r="F20" s="112"/>
      <c r="G20" s="114">
        <f>'2'!K13</f>
        <v>10086</v>
      </c>
      <c r="H20" s="114"/>
      <c r="I20" s="112"/>
      <c r="J20" s="113"/>
      <c r="K20" s="115"/>
    </row>
    <row r="21" spans="2:11" s="101" customFormat="1" ht="18" hidden="1" customHeight="1" x14ac:dyDescent="0.2">
      <c r="B21" s="129" t="s">
        <v>155</v>
      </c>
      <c r="C21" s="127" t="s">
        <v>156</v>
      </c>
      <c r="D21" s="114">
        <v>0</v>
      </c>
      <c r="E21" s="113"/>
      <c r="F21" s="112"/>
      <c r="G21" s="114">
        <f>'2'!K37</f>
        <v>0</v>
      </c>
      <c r="H21" s="114"/>
      <c r="I21" s="112"/>
      <c r="J21" s="113"/>
      <c r="K21" s="115"/>
    </row>
    <row r="22" spans="2:11" s="101" customFormat="1" ht="18" customHeight="1" thickBot="1" x14ac:dyDescent="0.25">
      <c r="B22" s="130" t="s">
        <v>157</v>
      </c>
      <c r="C22" s="128" t="s">
        <v>534</v>
      </c>
      <c r="D22" s="119">
        <v>7880</v>
      </c>
      <c r="E22" s="118"/>
      <c r="F22" s="117"/>
      <c r="G22" s="119">
        <f>'2'!K48</f>
        <v>1500</v>
      </c>
      <c r="H22" s="119"/>
      <c r="I22" s="117"/>
      <c r="J22" s="118"/>
      <c r="K22" s="120"/>
    </row>
    <row r="23" spans="2:11" ht="6.95" customHeight="1" thickBot="1" x14ac:dyDescent="0.3">
      <c r="B23" s="74"/>
      <c r="C23" s="75"/>
      <c r="D23" s="76"/>
      <c r="E23" s="80"/>
      <c r="F23" s="77"/>
      <c r="G23" s="76"/>
      <c r="H23" s="76"/>
      <c r="I23" s="77"/>
      <c r="J23" s="78"/>
      <c r="K23" s="76"/>
    </row>
    <row r="24" spans="2:11" s="101" customFormat="1" ht="21.6" hidden="1" customHeight="1" x14ac:dyDescent="0.2">
      <c r="B24" s="95" t="s">
        <v>158</v>
      </c>
      <c r="C24" s="96" t="s">
        <v>4</v>
      </c>
      <c r="D24" s="97"/>
      <c r="E24" s="98">
        <f>SUM(D25:D29)</f>
        <v>0</v>
      </c>
      <c r="F24" s="97"/>
      <c r="G24" s="97"/>
      <c r="H24" s="98">
        <f>SUM(G25:G29)</f>
        <v>0</v>
      </c>
      <c r="I24" s="97"/>
      <c r="J24" s="99" t="str">
        <f>IF(H24&gt;E24,"Increase","Decrease or No Change")</f>
        <v>Decrease or No Change</v>
      </c>
      <c r="K24" s="100">
        <f>H24-E24</f>
        <v>0</v>
      </c>
    </row>
    <row r="25" spans="2:11" s="101" customFormat="1" ht="18" hidden="1" customHeight="1" x14ac:dyDescent="0.2">
      <c r="B25" s="129" t="s">
        <v>159</v>
      </c>
      <c r="C25" s="127" t="s">
        <v>160</v>
      </c>
      <c r="D25" s="114">
        <v>0</v>
      </c>
      <c r="E25" s="113"/>
      <c r="F25" s="112"/>
      <c r="G25" s="114">
        <f>'3'!K26</f>
        <v>0</v>
      </c>
      <c r="H25" s="114"/>
      <c r="I25" s="112"/>
      <c r="J25" s="113"/>
      <c r="K25" s="115"/>
    </row>
    <row r="26" spans="2:11" s="101" customFormat="1" ht="18" hidden="1" customHeight="1" x14ac:dyDescent="0.2">
      <c r="B26" s="129" t="s">
        <v>162</v>
      </c>
      <c r="C26" s="127" t="s">
        <v>161</v>
      </c>
      <c r="D26" s="114">
        <v>0</v>
      </c>
      <c r="E26" s="113"/>
      <c r="F26" s="112"/>
      <c r="G26" s="114">
        <f>'3'!K37</f>
        <v>0</v>
      </c>
      <c r="H26" s="114"/>
      <c r="I26" s="112"/>
      <c r="J26" s="113"/>
      <c r="K26" s="115"/>
    </row>
    <row r="27" spans="2:11" s="101" customFormat="1" ht="18" hidden="1" customHeight="1" x14ac:dyDescent="0.2">
      <c r="B27" s="129" t="s">
        <v>163</v>
      </c>
      <c r="C27" s="127" t="s">
        <v>167</v>
      </c>
      <c r="D27" s="114">
        <v>0</v>
      </c>
      <c r="E27" s="113"/>
      <c r="F27" s="112"/>
      <c r="G27" s="114">
        <f>'3'!K46+'3'!K55</f>
        <v>0</v>
      </c>
      <c r="H27" s="114"/>
      <c r="I27" s="112"/>
      <c r="J27" s="113"/>
      <c r="K27" s="115"/>
    </row>
    <row r="28" spans="2:11" s="101" customFormat="1" ht="18" hidden="1" customHeight="1" x14ac:dyDescent="0.2">
      <c r="B28" s="129" t="s">
        <v>165</v>
      </c>
      <c r="C28" s="127" t="s">
        <v>169</v>
      </c>
      <c r="D28" s="114">
        <v>0</v>
      </c>
      <c r="E28" s="113"/>
      <c r="F28" s="112"/>
      <c r="G28" s="114">
        <f>'3'!K66</f>
        <v>0</v>
      </c>
      <c r="H28" s="114"/>
      <c r="I28" s="112"/>
      <c r="J28" s="113"/>
      <c r="K28" s="115"/>
    </row>
    <row r="29" spans="2:11" s="101" customFormat="1" ht="18" hidden="1" customHeight="1" thickBot="1" x14ac:dyDescent="0.25">
      <c r="B29" s="130" t="s">
        <v>166</v>
      </c>
      <c r="C29" s="128" t="s">
        <v>170</v>
      </c>
      <c r="D29" s="119">
        <v>0</v>
      </c>
      <c r="E29" s="118"/>
      <c r="F29" s="117"/>
      <c r="G29" s="119">
        <f>'3'!K75</f>
        <v>0</v>
      </c>
      <c r="H29" s="119"/>
      <c r="I29" s="117"/>
      <c r="J29" s="118"/>
      <c r="K29" s="120"/>
    </row>
    <row r="30" spans="2:11" ht="6.95" hidden="1" customHeight="1" thickBot="1" x14ac:dyDescent="0.3">
      <c r="B30" s="74"/>
      <c r="C30" s="75"/>
      <c r="D30" s="76"/>
      <c r="E30" s="78"/>
      <c r="F30" s="76"/>
      <c r="G30" s="76"/>
      <c r="H30" s="76"/>
      <c r="I30" s="76"/>
      <c r="J30" s="78"/>
      <c r="K30" s="76"/>
    </row>
    <row r="31" spans="2:11" s="101" customFormat="1" ht="21.6" hidden="1" customHeight="1" x14ac:dyDescent="0.2">
      <c r="B31" s="95" t="s">
        <v>171</v>
      </c>
      <c r="C31" s="96" t="s">
        <v>5</v>
      </c>
      <c r="D31" s="97"/>
      <c r="E31" s="98">
        <f>SUM(D32:D33)</f>
        <v>0</v>
      </c>
      <c r="F31" s="97"/>
      <c r="G31" s="97"/>
      <c r="H31" s="98">
        <f>SUM(G32:G33)</f>
        <v>0</v>
      </c>
      <c r="I31" s="97"/>
      <c r="J31" s="99" t="str">
        <f>IF(H31&gt;E31,"Increase","Decrease or No Change")</f>
        <v>Decrease or No Change</v>
      </c>
      <c r="K31" s="100">
        <f>H31-E31</f>
        <v>0</v>
      </c>
    </row>
    <row r="32" spans="2:11" s="101" customFormat="1" ht="18" hidden="1" customHeight="1" x14ac:dyDescent="0.2">
      <c r="B32" s="129" t="s">
        <v>172</v>
      </c>
      <c r="C32" s="127" t="s">
        <v>174</v>
      </c>
      <c r="D32" s="114">
        <v>0</v>
      </c>
      <c r="E32" s="113"/>
      <c r="F32" s="112"/>
      <c r="G32" s="114">
        <f>'4'!K26</f>
        <v>0</v>
      </c>
      <c r="H32" s="114"/>
      <c r="I32" s="112"/>
      <c r="J32" s="113"/>
      <c r="K32" s="115"/>
    </row>
    <row r="33" spans="2:11" s="101" customFormat="1" ht="18" hidden="1" customHeight="1" thickBot="1" x14ac:dyDescent="0.25">
      <c r="B33" s="130" t="s">
        <v>686</v>
      </c>
      <c r="C33" s="128" t="s">
        <v>687</v>
      </c>
      <c r="D33" s="119">
        <v>0</v>
      </c>
      <c r="E33" s="131"/>
      <c r="F33" s="117"/>
      <c r="G33" s="119">
        <f>'4'!K37</f>
        <v>0</v>
      </c>
      <c r="H33" s="119"/>
      <c r="I33" s="117"/>
      <c r="J33" s="131"/>
      <c r="K33" s="120"/>
    </row>
    <row r="34" spans="2:11" ht="6.95" hidden="1" customHeight="1" thickBot="1" x14ac:dyDescent="0.3">
      <c r="B34" s="74"/>
      <c r="C34" s="75"/>
      <c r="D34" s="76"/>
      <c r="E34" s="78"/>
      <c r="F34" s="76"/>
      <c r="G34" s="76"/>
      <c r="H34" s="76"/>
      <c r="I34" s="76"/>
      <c r="J34" s="78"/>
      <c r="K34" s="76"/>
    </row>
    <row r="35" spans="2:11" s="101" customFormat="1" ht="21.6" hidden="1" customHeight="1" x14ac:dyDescent="0.2">
      <c r="B35" s="95" t="s">
        <v>177</v>
      </c>
      <c r="C35" s="96" t="s">
        <v>6</v>
      </c>
      <c r="D35" s="97"/>
      <c r="E35" s="98">
        <f>SUM(D36:D39)</f>
        <v>0</v>
      </c>
      <c r="F35" s="102"/>
      <c r="G35" s="97"/>
      <c r="H35" s="98">
        <f>SUM(G36:G39)</f>
        <v>0</v>
      </c>
      <c r="I35" s="97"/>
      <c r="J35" s="99" t="str">
        <f>IF(H35&gt;E35,"Increase","Decrease or No Change")</f>
        <v>Decrease or No Change</v>
      </c>
      <c r="K35" s="100">
        <f>H35-E35</f>
        <v>0</v>
      </c>
    </row>
    <row r="36" spans="2:11" s="101" customFormat="1" ht="18" hidden="1" customHeight="1" x14ac:dyDescent="0.2">
      <c r="B36" s="111" t="s">
        <v>178</v>
      </c>
      <c r="C36" s="127" t="s">
        <v>184</v>
      </c>
      <c r="D36" s="114">
        <v>0</v>
      </c>
      <c r="E36" s="113"/>
      <c r="F36" s="112"/>
      <c r="G36" s="114">
        <f>'5'!K26</f>
        <v>0</v>
      </c>
      <c r="H36" s="114"/>
      <c r="I36" s="112"/>
      <c r="J36" s="113"/>
      <c r="K36" s="115"/>
    </row>
    <row r="37" spans="2:11" s="101" customFormat="1" ht="18" hidden="1" customHeight="1" x14ac:dyDescent="0.2">
      <c r="B37" s="111" t="s">
        <v>179</v>
      </c>
      <c r="C37" s="127" t="s">
        <v>185</v>
      </c>
      <c r="D37" s="114">
        <v>0</v>
      </c>
      <c r="E37" s="113"/>
      <c r="F37" s="112"/>
      <c r="G37" s="114">
        <f>'5'!K37</f>
        <v>0</v>
      </c>
      <c r="H37" s="114"/>
      <c r="I37" s="112"/>
      <c r="J37" s="113"/>
      <c r="K37" s="115"/>
    </row>
    <row r="38" spans="2:11" s="101" customFormat="1" ht="18" hidden="1" customHeight="1" x14ac:dyDescent="0.2">
      <c r="B38" s="111" t="s">
        <v>180</v>
      </c>
      <c r="C38" s="127" t="s">
        <v>186</v>
      </c>
      <c r="D38" s="114">
        <v>0</v>
      </c>
      <c r="E38" s="113"/>
      <c r="F38" s="112"/>
      <c r="G38" s="114">
        <f>'5'!K45</f>
        <v>0</v>
      </c>
      <c r="H38" s="114"/>
      <c r="I38" s="112"/>
      <c r="J38" s="113"/>
      <c r="K38" s="115"/>
    </row>
    <row r="39" spans="2:11" s="101" customFormat="1" ht="18" hidden="1" customHeight="1" thickBot="1" x14ac:dyDescent="0.25">
      <c r="B39" s="116" t="s">
        <v>688</v>
      </c>
      <c r="C39" s="128" t="s">
        <v>689</v>
      </c>
      <c r="D39" s="119">
        <v>0</v>
      </c>
      <c r="E39" s="118"/>
      <c r="F39" s="117"/>
      <c r="G39" s="119">
        <f>'5'!K54+'5'!K65+'5'!K74</f>
        <v>0</v>
      </c>
      <c r="H39" s="119"/>
      <c r="I39" s="117"/>
      <c r="J39" s="118"/>
      <c r="K39" s="120"/>
    </row>
    <row r="40" spans="2:11" ht="6.95" hidden="1" customHeight="1" thickBot="1" x14ac:dyDescent="0.3">
      <c r="B40" s="74"/>
      <c r="C40" s="75"/>
      <c r="D40" s="76"/>
      <c r="E40" s="80"/>
      <c r="F40" s="77"/>
      <c r="G40" s="76"/>
      <c r="H40" s="76"/>
      <c r="I40" s="77"/>
      <c r="J40" s="78"/>
      <c r="K40" s="76"/>
    </row>
    <row r="41" spans="2:11" s="101" customFormat="1" ht="21.6" customHeight="1" x14ac:dyDescent="0.2">
      <c r="B41" s="95" t="s">
        <v>190</v>
      </c>
      <c r="C41" s="96" t="s">
        <v>191</v>
      </c>
      <c r="D41" s="97"/>
      <c r="E41" s="98">
        <f>SUM(D42:D45)</f>
        <v>57936.36</v>
      </c>
      <c r="F41" s="102"/>
      <c r="G41" s="97"/>
      <c r="H41" s="98">
        <f>SUM(G42:G45)</f>
        <v>184170.8</v>
      </c>
      <c r="I41" s="97"/>
      <c r="J41" s="99" t="str">
        <f>IF(H41&gt;E41,"Increase","Decrease or No Change")</f>
        <v>Increase</v>
      </c>
      <c r="K41" s="100">
        <f>H41-E41</f>
        <v>126234.43999999999</v>
      </c>
    </row>
    <row r="42" spans="2:11" s="101" customFormat="1" ht="18" customHeight="1" x14ac:dyDescent="0.2">
      <c r="B42" s="111" t="s">
        <v>723</v>
      </c>
      <c r="C42" s="112" t="s">
        <v>903</v>
      </c>
      <c r="D42" s="114">
        <v>0</v>
      </c>
      <c r="E42" s="113"/>
      <c r="F42" s="114"/>
      <c r="G42" s="114">
        <f>'6'!K19</f>
        <v>1300</v>
      </c>
      <c r="H42" s="114"/>
      <c r="I42" s="112"/>
      <c r="J42" s="125"/>
      <c r="K42" s="126"/>
    </row>
    <row r="43" spans="2:11" s="101" customFormat="1" ht="18" customHeight="1" x14ac:dyDescent="0.2">
      <c r="B43" s="111" t="s">
        <v>723</v>
      </c>
      <c r="C43" s="112" t="s">
        <v>920</v>
      </c>
      <c r="D43" s="114">
        <v>2836.36</v>
      </c>
      <c r="E43" s="113"/>
      <c r="F43" s="114"/>
      <c r="G43" s="114">
        <f>'6'!K36</f>
        <v>1995.8000000000002</v>
      </c>
      <c r="H43" s="114"/>
      <c r="I43" s="112"/>
      <c r="J43" s="125"/>
      <c r="K43" s="126"/>
    </row>
    <row r="44" spans="2:11" s="101" customFormat="1" ht="18" customHeight="1" x14ac:dyDescent="0.2">
      <c r="B44" s="891" t="s">
        <v>193</v>
      </c>
      <c r="C44" s="892" t="s">
        <v>47</v>
      </c>
      <c r="D44" s="893">
        <v>55100</v>
      </c>
      <c r="E44" s="894"/>
      <c r="F44" s="892"/>
      <c r="G44" s="893">
        <f>'6'!K51</f>
        <v>180875</v>
      </c>
      <c r="H44" s="893"/>
      <c r="I44" s="892"/>
      <c r="J44" s="894" t="s">
        <v>1152</v>
      </c>
      <c r="K44" s="895"/>
    </row>
    <row r="45" spans="2:11" s="101" customFormat="1" ht="18" customHeight="1" thickBot="1" x14ac:dyDescent="0.25">
      <c r="B45" s="116" t="s">
        <v>690</v>
      </c>
      <c r="C45" s="117" t="s">
        <v>691</v>
      </c>
      <c r="D45" s="119">
        <v>0</v>
      </c>
      <c r="E45" s="118"/>
      <c r="F45" s="117"/>
      <c r="G45" s="119">
        <f>'6'!K59+'6'!K68+'6'!K79+'6'!K88+'6'!K95</f>
        <v>0</v>
      </c>
      <c r="H45" s="119"/>
      <c r="I45" s="117"/>
      <c r="J45" s="118"/>
      <c r="K45" s="120"/>
    </row>
    <row r="46" spans="2:11" ht="6.95" customHeight="1" thickBot="1" x14ac:dyDescent="0.3">
      <c r="B46" s="74"/>
      <c r="C46" s="75"/>
      <c r="D46" s="76"/>
      <c r="E46" s="80"/>
      <c r="F46" s="77"/>
      <c r="G46" s="76"/>
      <c r="H46" s="76"/>
      <c r="I46" s="77"/>
      <c r="J46" s="78"/>
      <c r="K46" s="76"/>
    </row>
    <row r="47" spans="2:11" s="101" customFormat="1" ht="21.6" customHeight="1" x14ac:dyDescent="0.2">
      <c r="B47" s="95" t="s">
        <v>204</v>
      </c>
      <c r="C47" s="96" t="s">
        <v>56</v>
      </c>
      <c r="D47" s="97"/>
      <c r="E47" s="98">
        <f>SUM(D48:D57)</f>
        <v>0</v>
      </c>
      <c r="F47" s="102"/>
      <c r="G47" s="97"/>
      <c r="H47" s="98">
        <f>SUM(G48:G57)</f>
        <v>8446</v>
      </c>
      <c r="I47" s="97"/>
      <c r="J47" s="99" t="str">
        <f>IF(H47&gt;E47,"Increase","Decrease or No Change")</f>
        <v>Increase</v>
      </c>
      <c r="K47" s="100">
        <f>H47-E47</f>
        <v>8446</v>
      </c>
    </row>
    <row r="48" spans="2:11" s="101" customFormat="1" ht="18" hidden="1" customHeight="1" x14ac:dyDescent="0.2">
      <c r="B48" s="111" t="s">
        <v>205</v>
      </c>
      <c r="C48" s="112" t="s">
        <v>206</v>
      </c>
      <c r="D48" s="114">
        <v>0</v>
      </c>
      <c r="E48" s="113"/>
      <c r="F48" s="112"/>
      <c r="G48" s="114">
        <f>'7'!K16</f>
        <v>0</v>
      </c>
      <c r="H48" s="114"/>
      <c r="I48" s="112"/>
      <c r="J48" s="113"/>
      <c r="K48" s="115"/>
    </row>
    <row r="49" spans="2:11" s="101" customFormat="1" ht="18" hidden="1" customHeight="1" x14ac:dyDescent="0.2">
      <c r="B49" s="111" t="s">
        <v>213</v>
      </c>
      <c r="C49" s="112" t="s">
        <v>214</v>
      </c>
      <c r="D49" s="114">
        <v>0</v>
      </c>
      <c r="E49" s="113"/>
      <c r="F49" s="112"/>
      <c r="G49" s="114">
        <f>'7'!K22</f>
        <v>0</v>
      </c>
      <c r="H49" s="114"/>
      <c r="I49" s="112"/>
      <c r="J49" s="113"/>
      <c r="K49" s="115"/>
    </row>
    <row r="50" spans="2:11" s="101" customFormat="1" ht="18" hidden="1" customHeight="1" x14ac:dyDescent="0.2">
      <c r="B50" s="111" t="s">
        <v>215</v>
      </c>
      <c r="C50" s="112" t="s">
        <v>216</v>
      </c>
      <c r="D50" s="114">
        <v>0</v>
      </c>
      <c r="E50" s="113"/>
      <c r="F50" s="112"/>
      <c r="G50" s="114">
        <f>'7'!K27</f>
        <v>0</v>
      </c>
      <c r="H50" s="114"/>
      <c r="I50" s="112"/>
      <c r="J50" s="113"/>
      <c r="K50" s="115"/>
    </row>
    <row r="51" spans="2:11" s="101" customFormat="1" ht="18" hidden="1" customHeight="1" x14ac:dyDescent="0.2">
      <c r="B51" s="111" t="s">
        <v>217</v>
      </c>
      <c r="C51" s="112" t="s">
        <v>218</v>
      </c>
      <c r="D51" s="114">
        <v>0</v>
      </c>
      <c r="E51" s="113"/>
      <c r="F51" s="112"/>
      <c r="G51" s="114">
        <f>'7'!K33</f>
        <v>0</v>
      </c>
      <c r="H51" s="114"/>
      <c r="I51" s="112"/>
      <c r="J51" s="113"/>
      <c r="K51" s="115"/>
    </row>
    <row r="52" spans="2:11" s="101" customFormat="1" ht="18" hidden="1" customHeight="1" x14ac:dyDescent="0.2">
      <c r="B52" s="111" t="s">
        <v>219</v>
      </c>
      <c r="C52" s="112" t="s">
        <v>57</v>
      </c>
      <c r="D52" s="114">
        <v>0</v>
      </c>
      <c r="E52" s="113"/>
      <c r="F52" s="112"/>
      <c r="G52" s="114">
        <f>'7'!K39</f>
        <v>0</v>
      </c>
      <c r="H52" s="114"/>
      <c r="I52" s="112"/>
      <c r="J52" s="113"/>
      <c r="K52" s="115"/>
    </row>
    <row r="53" spans="2:11" s="101" customFormat="1" ht="18" hidden="1" customHeight="1" x14ac:dyDescent="0.2">
      <c r="B53" s="111" t="s">
        <v>692</v>
      </c>
      <c r="C53" s="112" t="s">
        <v>58</v>
      </c>
      <c r="D53" s="114">
        <v>0</v>
      </c>
      <c r="E53" s="113"/>
      <c r="F53" s="112"/>
      <c r="G53" s="114">
        <f>'7'!K45+'7'!K50</f>
        <v>0</v>
      </c>
      <c r="H53" s="114"/>
      <c r="I53" s="112"/>
      <c r="J53" s="113"/>
      <c r="K53" s="115"/>
    </row>
    <row r="54" spans="2:11" s="101" customFormat="1" ht="18" hidden="1" customHeight="1" x14ac:dyDescent="0.2">
      <c r="B54" s="111" t="s">
        <v>694</v>
      </c>
      <c r="C54" s="112" t="s">
        <v>693</v>
      </c>
      <c r="D54" s="114">
        <v>0</v>
      </c>
      <c r="E54" s="113"/>
      <c r="F54" s="112"/>
      <c r="G54" s="114">
        <f>'7'!K55+'7'!K60+'7'!K66</f>
        <v>0</v>
      </c>
      <c r="H54" s="114"/>
      <c r="I54" s="112"/>
      <c r="J54" s="113"/>
      <c r="K54" s="115"/>
    </row>
    <row r="55" spans="2:11" s="101" customFormat="1" ht="18" hidden="1" customHeight="1" x14ac:dyDescent="0.2">
      <c r="B55" s="111" t="s">
        <v>230</v>
      </c>
      <c r="C55" s="112" t="s">
        <v>231</v>
      </c>
      <c r="D55" s="114">
        <v>0</v>
      </c>
      <c r="E55" s="113"/>
      <c r="F55" s="112"/>
      <c r="G55" s="114">
        <f>'7'!K72</f>
        <v>0</v>
      </c>
      <c r="H55" s="114"/>
      <c r="I55" s="112"/>
      <c r="J55" s="113"/>
      <c r="K55" s="115"/>
    </row>
    <row r="56" spans="2:11" s="101" customFormat="1" ht="18" customHeight="1" x14ac:dyDescent="0.2">
      <c r="B56" s="111" t="s">
        <v>695</v>
      </c>
      <c r="C56" s="112" t="s">
        <v>696</v>
      </c>
      <c r="D56" s="114">
        <v>0</v>
      </c>
      <c r="E56" s="113"/>
      <c r="F56" s="112"/>
      <c r="G56" s="114">
        <f>'7'!K78</f>
        <v>8446</v>
      </c>
      <c r="H56" s="114"/>
      <c r="I56" s="112"/>
      <c r="J56" s="113"/>
      <c r="K56" s="115"/>
    </row>
    <row r="57" spans="2:11" s="101" customFormat="1" ht="18" hidden="1" customHeight="1" thickBot="1" x14ac:dyDescent="0.25">
      <c r="B57" s="116" t="s">
        <v>240</v>
      </c>
      <c r="C57" s="117" t="s">
        <v>241</v>
      </c>
      <c r="D57" s="119">
        <v>0</v>
      </c>
      <c r="E57" s="118"/>
      <c r="F57" s="117"/>
      <c r="G57" s="119">
        <f>'7'!K84</f>
        <v>0</v>
      </c>
      <c r="H57" s="119"/>
      <c r="I57" s="117"/>
      <c r="J57" s="118"/>
      <c r="K57" s="120"/>
    </row>
    <row r="58" spans="2:11" ht="6.95" customHeight="1" thickBot="1" x14ac:dyDescent="0.3">
      <c r="B58" s="74"/>
      <c r="C58" s="75"/>
      <c r="D58" s="76"/>
      <c r="E58" s="80"/>
      <c r="F58" s="77"/>
      <c r="G58" s="76"/>
      <c r="H58" s="76"/>
      <c r="I58" s="77"/>
      <c r="J58" s="78"/>
      <c r="K58" s="76"/>
    </row>
    <row r="59" spans="2:11" s="101" customFormat="1" ht="21.6" customHeight="1" x14ac:dyDescent="0.2">
      <c r="B59" s="95" t="s">
        <v>242</v>
      </c>
      <c r="C59" s="96" t="s">
        <v>243</v>
      </c>
      <c r="D59" s="97"/>
      <c r="E59" s="98">
        <f>SUM(D60:D66)</f>
        <v>44720</v>
      </c>
      <c r="F59" s="102"/>
      <c r="G59" s="97"/>
      <c r="H59" s="98">
        <f>SUM(G60:G66)</f>
        <v>22710</v>
      </c>
      <c r="I59" s="97"/>
      <c r="J59" s="99" t="str">
        <f>IF(H59&gt;E59,"Increase","Decrease or No Change")</f>
        <v>Decrease or No Change</v>
      </c>
      <c r="K59" s="100">
        <f>H59-E59</f>
        <v>-22010</v>
      </c>
    </row>
    <row r="60" spans="2:11" s="101" customFormat="1" ht="18" customHeight="1" x14ac:dyDescent="0.2">
      <c r="B60" s="111" t="s">
        <v>697</v>
      </c>
      <c r="C60" s="112" t="s">
        <v>698</v>
      </c>
      <c r="D60" s="114">
        <v>11865</v>
      </c>
      <c r="E60" s="113"/>
      <c r="F60" s="112"/>
      <c r="G60" s="114">
        <f>'8'!K18+'8'!K24</f>
        <v>20485</v>
      </c>
      <c r="H60" s="114"/>
      <c r="I60" s="112"/>
      <c r="J60" s="113"/>
      <c r="K60" s="115"/>
    </row>
    <row r="61" spans="2:11" s="101" customFormat="1" ht="18" customHeight="1" x14ac:dyDescent="0.2">
      <c r="B61" s="111" t="s">
        <v>699</v>
      </c>
      <c r="C61" s="112" t="s">
        <v>700</v>
      </c>
      <c r="D61" s="114">
        <v>900</v>
      </c>
      <c r="E61" s="113"/>
      <c r="F61" s="112"/>
      <c r="G61" s="114">
        <f>'8'!K29+'8'!K35+'8'!K41+'8'!K47+'8'!K52</f>
        <v>0</v>
      </c>
      <c r="H61" s="114"/>
      <c r="I61" s="112"/>
      <c r="J61" s="113"/>
      <c r="K61" s="115"/>
    </row>
    <row r="62" spans="2:11" s="101" customFormat="1" ht="18" hidden="1" customHeight="1" x14ac:dyDescent="0.2">
      <c r="B62" s="111" t="s">
        <v>701</v>
      </c>
      <c r="C62" s="112" t="s">
        <v>702</v>
      </c>
      <c r="D62" s="114">
        <v>0</v>
      </c>
      <c r="E62" s="113"/>
      <c r="F62" s="112"/>
      <c r="G62" s="114">
        <f>'8'!K57+'8'!K62</f>
        <v>0</v>
      </c>
      <c r="H62" s="114"/>
      <c r="I62" s="112"/>
      <c r="J62" s="113"/>
      <c r="K62" s="115"/>
    </row>
    <row r="63" spans="2:11" s="101" customFormat="1" ht="18" hidden="1" customHeight="1" x14ac:dyDescent="0.2">
      <c r="B63" s="111" t="s">
        <v>262</v>
      </c>
      <c r="C63" s="112" t="s">
        <v>93</v>
      </c>
      <c r="D63" s="114">
        <v>0</v>
      </c>
      <c r="E63" s="113"/>
      <c r="F63" s="112"/>
      <c r="G63" s="114">
        <f>'8'!K69</f>
        <v>0</v>
      </c>
      <c r="H63" s="114"/>
      <c r="I63" s="112"/>
      <c r="J63" s="113"/>
      <c r="K63" s="115"/>
    </row>
    <row r="64" spans="2:11" s="101" customFormat="1" ht="18" hidden="1" customHeight="1" x14ac:dyDescent="0.2">
      <c r="B64" s="111" t="s">
        <v>270</v>
      </c>
      <c r="C64" s="112" t="s">
        <v>705</v>
      </c>
      <c r="D64" s="114">
        <v>0</v>
      </c>
      <c r="E64" s="113"/>
      <c r="F64" s="112"/>
      <c r="G64" s="114">
        <f>'8'!K75</f>
        <v>0</v>
      </c>
      <c r="H64" s="114"/>
      <c r="I64" s="112"/>
      <c r="J64" s="113"/>
      <c r="K64" s="115"/>
    </row>
    <row r="65" spans="2:11" s="101" customFormat="1" ht="18" customHeight="1" x14ac:dyDescent="0.2">
      <c r="B65" s="111" t="s">
        <v>703</v>
      </c>
      <c r="C65" s="112" t="s">
        <v>62</v>
      </c>
      <c r="D65" s="114">
        <v>31955</v>
      </c>
      <c r="E65" s="113"/>
      <c r="F65" s="112"/>
      <c r="G65" s="114">
        <f>'8'!K81+'8'!K87+'8'!K93</f>
        <v>2225</v>
      </c>
      <c r="H65" s="114"/>
      <c r="I65" s="112"/>
      <c r="J65" s="113"/>
      <c r="K65" s="115"/>
    </row>
    <row r="66" spans="2:11" s="101" customFormat="1" ht="18" hidden="1" customHeight="1" thickBot="1" x14ac:dyDescent="0.25">
      <c r="B66" s="116" t="s">
        <v>704</v>
      </c>
      <c r="C66" s="117" t="s">
        <v>278</v>
      </c>
      <c r="D66" s="119">
        <v>0</v>
      </c>
      <c r="E66" s="118"/>
      <c r="F66" s="117"/>
      <c r="G66" s="119">
        <f>'8'!K99</f>
        <v>0</v>
      </c>
      <c r="H66" s="119"/>
      <c r="I66" s="117"/>
      <c r="J66" s="118"/>
      <c r="K66" s="120"/>
    </row>
    <row r="67" spans="2:11" ht="6.95" customHeight="1" thickBot="1" x14ac:dyDescent="0.3">
      <c r="B67" s="74"/>
      <c r="C67" s="75"/>
      <c r="D67" s="76"/>
      <c r="E67" s="80"/>
      <c r="F67" s="77"/>
      <c r="G67" s="76"/>
      <c r="H67" s="76"/>
      <c r="I67" s="77"/>
      <c r="J67" s="78"/>
      <c r="K67" s="76"/>
    </row>
    <row r="68" spans="2:11" s="101" customFormat="1" ht="21.6" customHeight="1" x14ac:dyDescent="0.2">
      <c r="B68" s="95" t="s">
        <v>279</v>
      </c>
      <c r="C68" s="96" t="s">
        <v>8</v>
      </c>
      <c r="D68" s="97"/>
      <c r="E68" s="98">
        <f>SUM(D69:D74)</f>
        <v>97498.62</v>
      </c>
      <c r="F68" s="102"/>
      <c r="G68" s="97"/>
      <c r="H68" s="98">
        <f>SUM(G69:G74)</f>
        <v>100111.44</v>
      </c>
      <c r="I68" s="97"/>
      <c r="J68" s="99" t="str">
        <f>IF(H68&gt;E68,"Increase","Decrease or No Change")</f>
        <v>Increase</v>
      </c>
      <c r="K68" s="100">
        <f>H68-E68</f>
        <v>2612.820000000007</v>
      </c>
    </row>
    <row r="69" spans="2:11" s="101" customFormat="1" ht="18" customHeight="1" x14ac:dyDescent="0.2">
      <c r="B69" s="111" t="s">
        <v>280</v>
      </c>
      <c r="C69" s="112" t="s">
        <v>281</v>
      </c>
      <c r="D69" s="114">
        <v>53159</v>
      </c>
      <c r="E69" s="113"/>
      <c r="F69" s="112"/>
      <c r="G69" s="114">
        <f>'9'!K18</f>
        <v>61750</v>
      </c>
      <c r="H69" s="114"/>
      <c r="I69" s="112"/>
      <c r="J69" s="113"/>
      <c r="K69" s="115"/>
    </row>
    <row r="70" spans="2:11" s="101" customFormat="1" ht="18" customHeight="1" x14ac:dyDescent="0.2">
      <c r="B70" s="111" t="s">
        <v>282</v>
      </c>
      <c r="C70" s="112" t="s">
        <v>283</v>
      </c>
      <c r="D70" s="114">
        <v>1608</v>
      </c>
      <c r="E70" s="113"/>
      <c r="F70" s="112"/>
      <c r="G70" s="114">
        <f>'9'!K26</f>
        <v>0</v>
      </c>
      <c r="H70" s="114"/>
      <c r="I70" s="112"/>
      <c r="J70" s="113"/>
      <c r="K70" s="115"/>
    </row>
    <row r="71" spans="2:11" s="101" customFormat="1" ht="18" customHeight="1" x14ac:dyDescent="0.2">
      <c r="B71" s="111" t="s">
        <v>284</v>
      </c>
      <c r="C71" s="112" t="s">
        <v>285</v>
      </c>
      <c r="D71" s="114">
        <v>10482</v>
      </c>
      <c r="E71" s="113"/>
      <c r="F71" s="112"/>
      <c r="G71" s="114">
        <f>'9'!K32</f>
        <v>0</v>
      </c>
      <c r="H71" s="114"/>
      <c r="I71" s="112"/>
      <c r="J71" s="113"/>
      <c r="K71" s="115"/>
    </row>
    <row r="72" spans="2:11" s="101" customFormat="1" ht="18" customHeight="1" x14ac:dyDescent="0.2">
      <c r="B72" s="111" t="s">
        <v>286</v>
      </c>
      <c r="C72" s="112" t="s">
        <v>78</v>
      </c>
      <c r="D72" s="114">
        <v>20964</v>
      </c>
      <c r="E72" s="113"/>
      <c r="F72" s="112"/>
      <c r="G72" s="114">
        <f>'9'!K47</f>
        <v>26169</v>
      </c>
      <c r="H72" s="114"/>
      <c r="I72" s="112"/>
      <c r="J72" s="113"/>
      <c r="K72" s="115"/>
    </row>
    <row r="73" spans="2:11" s="101" customFormat="1" ht="18" hidden="1" customHeight="1" x14ac:dyDescent="0.2">
      <c r="B73" s="111" t="s">
        <v>706</v>
      </c>
      <c r="C73" s="112" t="s">
        <v>707</v>
      </c>
      <c r="D73" s="114">
        <v>0</v>
      </c>
      <c r="E73" s="113"/>
      <c r="F73" s="112"/>
      <c r="G73" s="114">
        <f>'9'!K53</f>
        <v>0</v>
      </c>
      <c r="H73" s="114"/>
      <c r="I73" s="112"/>
      <c r="J73" s="113"/>
      <c r="K73" s="115"/>
    </row>
    <row r="74" spans="2:11" s="101" customFormat="1" ht="18" customHeight="1" thickBot="1" x14ac:dyDescent="0.25">
      <c r="B74" s="116" t="s">
        <v>708</v>
      </c>
      <c r="C74" s="117" t="s">
        <v>79</v>
      </c>
      <c r="D74" s="119">
        <v>11285.62</v>
      </c>
      <c r="E74" s="118"/>
      <c r="F74" s="117"/>
      <c r="G74" s="119">
        <f>'9'!K62</f>
        <v>12192.44</v>
      </c>
      <c r="H74" s="119"/>
      <c r="I74" s="117"/>
      <c r="J74" s="118"/>
      <c r="K74" s="120"/>
    </row>
    <row r="75" spans="2:11" ht="6.95" customHeight="1" thickBot="1" x14ac:dyDescent="0.3">
      <c r="B75" s="82"/>
      <c r="C75" s="83"/>
      <c r="D75" s="76"/>
      <c r="E75" s="80"/>
      <c r="F75" s="77"/>
      <c r="G75" s="76"/>
      <c r="H75" s="76"/>
      <c r="I75" s="77"/>
      <c r="J75" s="78"/>
      <c r="K75" s="76"/>
    </row>
    <row r="76" spans="2:11" s="101" customFormat="1" ht="21.6" customHeight="1" x14ac:dyDescent="0.2">
      <c r="B76" s="95" t="s">
        <v>298</v>
      </c>
      <c r="C76" s="96" t="s">
        <v>9</v>
      </c>
      <c r="D76" s="97"/>
      <c r="E76" s="98">
        <f>SUM(D77:D82)</f>
        <v>7674.6666666666661</v>
      </c>
      <c r="F76" s="97"/>
      <c r="G76" s="97"/>
      <c r="H76" s="98">
        <f>SUM(G77:G82)</f>
        <v>11690</v>
      </c>
      <c r="I76" s="97"/>
      <c r="J76" s="99" t="str">
        <f>IF(H76&gt;E76,"Increase","Decrease or No Change")</f>
        <v>Increase</v>
      </c>
      <c r="K76" s="100">
        <f>H76-E76</f>
        <v>4015.3333333333339</v>
      </c>
    </row>
    <row r="77" spans="2:11" s="101" customFormat="1" ht="18" hidden="1" customHeight="1" x14ac:dyDescent="0.2">
      <c r="B77" s="111" t="s">
        <v>299</v>
      </c>
      <c r="C77" s="112" t="s">
        <v>300</v>
      </c>
      <c r="D77" s="114">
        <v>0</v>
      </c>
      <c r="E77" s="113"/>
      <c r="F77" s="112"/>
      <c r="G77" s="114">
        <f>'10'!K17</f>
        <v>0</v>
      </c>
      <c r="H77" s="114"/>
      <c r="I77" s="112"/>
      <c r="J77" s="113"/>
      <c r="K77" s="115"/>
    </row>
    <row r="78" spans="2:11" s="101" customFormat="1" ht="18" hidden="1" customHeight="1" x14ac:dyDescent="0.2">
      <c r="B78" s="111" t="s">
        <v>301</v>
      </c>
      <c r="C78" s="112" t="s">
        <v>302</v>
      </c>
      <c r="D78" s="114">
        <v>0</v>
      </c>
      <c r="E78" s="113"/>
      <c r="F78" s="112"/>
      <c r="G78" s="114">
        <f>'10'!K25</f>
        <v>0</v>
      </c>
      <c r="H78" s="114"/>
      <c r="I78" s="112"/>
      <c r="J78" s="113"/>
      <c r="K78" s="115"/>
    </row>
    <row r="79" spans="2:11" s="101" customFormat="1" ht="18" customHeight="1" thickBot="1" x14ac:dyDescent="0.25">
      <c r="B79" s="111" t="s">
        <v>303</v>
      </c>
      <c r="C79" s="112" t="s">
        <v>304</v>
      </c>
      <c r="D79" s="114">
        <v>7674.6666666666661</v>
      </c>
      <c r="E79" s="113"/>
      <c r="F79" s="112"/>
      <c r="G79" s="114">
        <f>'10'!K38</f>
        <v>11690</v>
      </c>
      <c r="H79" s="114"/>
      <c r="I79" s="112"/>
      <c r="J79" s="113"/>
      <c r="K79" s="115"/>
    </row>
    <row r="80" spans="2:11" s="101" customFormat="1" ht="18" hidden="1" customHeight="1" x14ac:dyDescent="0.2">
      <c r="B80" s="111" t="s">
        <v>710</v>
      </c>
      <c r="C80" s="112" t="s">
        <v>709</v>
      </c>
      <c r="D80" s="114">
        <v>0</v>
      </c>
      <c r="E80" s="113"/>
      <c r="F80" s="112"/>
      <c r="G80" s="114">
        <f>'10'!K44</f>
        <v>0</v>
      </c>
      <c r="H80" s="114"/>
      <c r="I80" s="112"/>
      <c r="J80" s="113"/>
      <c r="K80" s="115"/>
    </row>
    <row r="81" spans="2:11" s="101" customFormat="1" ht="18" hidden="1" customHeight="1" x14ac:dyDescent="0.2">
      <c r="B81" s="111" t="s">
        <v>711</v>
      </c>
      <c r="C81" s="112" t="s">
        <v>712</v>
      </c>
      <c r="D81" s="114">
        <v>0</v>
      </c>
      <c r="E81" s="113"/>
      <c r="F81" s="112"/>
      <c r="G81" s="114">
        <f>'10'!K51</f>
        <v>0</v>
      </c>
      <c r="H81" s="114"/>
      <c r="I81" s="112"/>
      <c r="J81" s="113"/>
      <c r="K81" s="115"/>
    </row>
    <row r="82" spans="2:11" s="101" customFormat="1" ht="18" hidden="1" customHeight="1" thickBot="1" x14ac:dyDescent="0.25">
      <c r="B82" s="116" t="s">
        <v>318</v>
      </c>
      <c r="C82" s="117" t="s">
        <v>319</v>
      </c>
      <c r="D82" s="119">
        <v>0</v>
      </c>
      <c r="E82" s="118"/>
      <c r="F82" s="117"/>
      <c r="G82" s="119">
        <f>'10'!K63</f>
        <v>0</v>
      </c>
      <c r="H82" s="119"/>
      <c r="I82" s="117"/>
      <c r="J82" s="118"/>
      <c r="K82" s="120"/>
    </row>
    <row r="83" spans="2:11" ht="6.95" customHeight="1" thickBot="1" x14ac:dyDescent="0.3">
      <c r="B83" s="82"/>
      <c r="C83" s="83"/>
      <c r="D83" s="80"/>
      <c r="E83" s="80"/>
      <c r="F83" s="77"/>
      <c r="G83" s="76"/>
      <c r="H83" s="76"/>
      <c r="I83" s="77"/>
      <c r="J83" s="78"/>
      <c r="K83" s="76"/>
    </row>
    <row r="84" spans="2:11" ht="15" hidden="1" customHeight="1" x14ac:dyDescent="0.25">
      <c r="B84" s="84"/>
      <c r="C84" s="79"/>
      <c r="D84" s="79"/>
      <c r="E84" s="79"/>
      <c r="F84" s="69"/>
      <c r="G84" s="69"/>
      <c r="H84" s="69"/>
      <c r="I84" s="69"/>
      <c r="J84" s="68"/>
      <c r="K84" s="69"/>
    </row>
    <row r="85" spans="2:11" ht="15" hidden="1" customHeight="1" thickBot="1" x14ac:dyDescent="0.3">
      <c r="B85" s="84"/>
      <c r="C85" s="79"/>
      <c r="D85" s="79"/>
      <c r="E85" s="79"/>
      <c r="F85" s="69"/>
      <c r="G85" s="69"/>
      <c r="H85" s="69"/>
      <c r="I85" s="69"/>
      <c r="J85" s="68"/>
      <c r="K85" s="69"/>
    </row>
    <row r="86" spans="2:11" s="101" customFormat="1" ht="21.6" hidden="1" customHeight="1" x14ac:dyDescent="0.2">
      <c r="B86" s="95" t="s">
        <v>326</v>
      </c>
      <c r="C86" s="96" t="s">
        <v>69</v>
      </c>
      <c r="D86" s="98"/>
      <c r="E86" s="98">
        <f>SUM(D87:D90)</f>
        <v>0</v>
      </c>
      <c r="F86" s="97"/>
      <c r="G86" s="102"/>
      <c r="H86" s="102">
        <f>SUM(G87:G90)</f>
        <v>0</v>
      </c>
      <c r="I86" s="97"/>
      <c r="J86" s="98"/>
      <c r="K86" s="103"/>
    </row>
    <row r="87" spans="2:11" s="101" customFormat="1" ht="18" hidden="1" customHeight="1" x14ac:dyDescent="0.2">
      <c r="B87" s="111" t="s">
        <v>714</v>
      </c>
      <c r="C87" s="112" t="s">
        <v>713</v>
      </c>
      <c r="D87" s="121">
        <v>0</v>
      </c>
      <c r="E87" s="121"/>
      <c r="F87" s="122"/>
      <c r="G87" s="123">
        <f>'11'!K24+'11'!K35</f>
        <v>0</v>
      </c>
      <c r="H87" s="123"/>
      <c r="I87" s="122"/>
      <c r="J87" s="121"/>
      <c r="K87" s="124"/>
    </row>
    <row r="88" spans="2:11" s="101" customFormat="1" ht="18" hidden="1" customHeight="1" x14ac:dyDescent="0.2">
      <c r="B88" s="111" t="s">
        <v>331</v>
      </c>
      <c r="C88" s="112" t="s">
        <v>332</v>
      </c>
      <c r="D88" s="113">
        <v>0</v>
      </c>
      <c r="E88" s="113"/>
      <c r="F88" s="114"/>
      <c r="G88" s="114">
        <f>'11'!K43</f>
        <v>0</v>
      </c>
      <c r="H88" s="113"/>
      <c r="I88" s="112"/>
      <c r="J88" s="125" t="str">
        <f>IF(H88&gt;E88,"Increase","Decrease or No Change")</f>
        <v>Decrease or No Change</v>
      </c>
      <c r="K88" s="126">
        <f>H88-E88</f>
        <v>0</v>
      </c>
    </row>
    <row r="89" spans="2:11" s="101" customFormat="1" ht="18" hidden="1" customHeight="1" x14ac:dyDescent="0.2">
      <c r="B89" s="111" t="s">
        <v>715</v>
      </c>
      <c r="C89" s="112" t="s">
        <v>70</v>
      </c>
      <c r="D89" s="113">
        <v>0</v>
      </c>
      <c r="E89" s="113"/>
      <c r="F89" s="112"/>
      <c r="G89" s="114">
        <f>'11'!K52+'11'!K63</f>
        <v>0</v>
      </c>
      <c r="H89" s="114"/>
      <c r="I89" s="112"/>
      <c r="J89" s="113"/>
      <c r="K89" s="115"/>
    </row>
    <row r="90" spans="2:11" s="101" customFormat="1" ht="18" hidden="1" customHeight="1" thickBot="1" x14ac:dyDescent="0.25">
      <c r="B90" s="116" t="s">
        <v>716</v>
      </c>
      <c r="C90" s="117" t="s">
        <v>717</v>
      </c>
      <c r="D90" s="118">
        <v>0</v>
      </c>
      <c r="E90" s="118"/>
      <c r="F90" s="117"/>
      <c r="G90" s="119">
        <f>'11'!K72+'11'!K79</f>
        <v>0</v>
      </c>
      <c r="H90" s="119"/>
      <c r="I90" s="117"/>
      <c r="J90" s="118"/>
      <c r="K90" s="120"/>
    </row>
    <row r="91" spans="2:11" ht="6.95" hidden="1" customHeight="1" thickBot="1" x14ac:dyDescent="0.3">
      <c r="B91" s="86"/>
      <c r="C91" s="87"/>
      <c r="D91" s="80"/>
      <c r="E91" s="80"/>
      <c r="F91" s="77"/>
      <c r="G91" s="85"/>
      <c r="H91" s="85"/>
      <c r="I91" s="77"/>
      <c r="J91" s="78"/>
      <c r="K91" s="76"/>
    </row>
    <row r="92" spans="2:11" s="101" customFormat="1" ht="21.6" hidden="1" customHeight="1" x14ac:dyDescent="0.2">
      <c r="B92" s="95" t="s">
        <v>347</v>
      </c>
      <c r="C92" s="96" t="s">
        <v>74</v>
      </c>
      <c r="D92" s="98"/>
      <c r="E92" s="98">
        <f>SUM(D93:D94)</f>
        <v>0</v>
      </c>
      <c r="F92" s="97"/>
      <c r="G92" s="102"/>
      <c r="H92" s="98">
        <f>SUM(G93:G94)</f>
        <v>0</v>
      </c>
      <c r="I92" s="97"/>
      <c r="J92" s="99" t="str">
        <f>IF(H92&gt;E92,"Increase","Decrease or No Change")</f>
        <v>Decrease or No Change</v>
      </c>
      <c r="K92" s="100">
        <f>H92-E92</f>
        <v>0</v>
      </c>
    </row>
    <row r="93" spans="2:11" s="101" customFormat="1" ht="18" hidden="1" customHeight="1" x14ac:dyDescent="0.2">
      <c r="B93" s="111" t="s">
        <v>348</v>
      </c>
      <c r="C93" s="112" t="s">
        <v>349</v>
      </c>
      <c r="D93" s="113">
        <v>0</v>
      </c>
      <c r="E93" s="113"/>
      <c r="F93" s="112"/>
      <c r="G93" s="114">
        <f>'12'!K24+'12'!K35</f>
        <v>0</v>
      </c>
      <c r="H93" s="114"/>
      <c r="I93" s="112"/>
      <c r="J93" s="113"/>
      <c r="K93" s="115"/>
    </row>
    <row r="94" spans="2:11" s="101" customFormat="1" ht="18" hidden="1" customHeight="1" thickBot="1" x14ac:dyDescent="0.25">
      <c r="B94" s="116" t="s">
        <v>352</v>
      </c>
      <c r="C94" s="117" t="s">
        <v>353</v>
      </c>
      <c r="D94" s="118">
        <v>0</v>
      </c>
      <c r="E94" s="118"/>
      <c r="F94" s="117"/>
      <c r="G94" s="119">
        <f>'12'!K43+'12'!K52+'12'!K63+'12'!K72</f>
        <v>0</v>
      </c>
      <c r="H94" s="119"/>
      <c r="I94" s="117"/>
      <c r="J94" s="118"/>
      <c r="K94" s="120"/>
    </row>
    <row r="95" spans="2:11" ht="6.95" hidden="1" customHeight="1" thickBot="1" x14ac:dyDescent="0.3">
      <c r="B95" s="74"/>
      <c r="C95" s="75"/>
      <c r="D95" s="78"/>
      <c r="E95" s="78"/>
      <c r="F95" s="76"/>
      <c r="G95" s="85"/>
      <c r="H95" s="85"/>
      <c r="I95" s="76"/>
      <c r="J95" s="78"/>
      <c r="K95" s="76"/>
    </row>
    <row r="96" spans="2:11" s="101" customFormat="1" ht="21.6" hidden="1" customHeight="1" thickBot="1" x14ac:dyDescent="0.25">
      <c r="B96" s="104" t="s">
        <v>360</v>
      </c>
      <c r="C96" s="105" t="s">
        <v>75</v>
      </c>
      <c r="D96" s="106"/>
      <c r="E96" s="106">
        <f>'Estimate Summary'!E39</f>
        <v>0</v>
      </c>
      <c r="F96" s="107"/>
      <c r="G96" s="107"/>
      <c r="H96" s="106">
        <f>'Estimate Summary'!H39</f>
        <v>0</v>
      </c>
      <c r="I96" s="108"/>
      <c r="J96" s="109" t="str">
        <f>IF(H96&gt;E96,"Increase","Decrease or No Change")</f>
        <v>Decrease or No Change</v>
      </c>
      <c r="K96" s="110">
        <f>H96-E96</f>
        <v>0</v>
      </c>
    </row>
    <row r="97" spans="2:11" ht="6.95" hidden="1" customHeight="1" thickBot="1" x14ac:dyDescent="0.3">
      <c r="B97" s="74"/>
      <c r="C97" s="75"/>
      <c r="D97" s="80"/>
      <c r="E97" s="80"/>
      <c r="F97" s="77"/>
      <c r="G97" s="85"/>
      <c r="H97" s="85"/>
      <c r="I97" s="77"/>
      <c r="J97" s="78"/>
      <c r="K97" s="76"/>
    </row>
    <row r="98" spans="2:11" s="101" customFormat="1" ht="21.6" hidden="1" customHeight="1" x14ac:dyDescent="0.2">
      <c r="B98" s="95" t="s">
        <v>361</v>
      </c>
      <c r="C98" s="96" t="s">
        <v>362</v>
      </c>
      <c r="D98" s="98"/>
      <c r="E98" s="98">
        <f>SUM(D99:D100)</f>
        <v>0</v>
      </c>
      <c r="F98" s="97"/>
      <c r="G98" s="102"/>
      <c r="H98" s="98">
        <f>SUM(G99:G100)</f>
        <v>0</v>
      </c>
      <c r="I98" s="97"/>
      <c r="J98" s="99" t="str">
        <f>IF(H98&gt;E98,"Increase","Decrease or No Change")</f>
        <v>Decrease or No Change</v>
      </c>
      <c r="K98" s="100">
        <f>H98-E98</f>
        <v>0</v>
      </c>
    </row>
    <row r="99" spans="2:11" s="101" customFormat="1" ht="18" hidden="1" customHeight="1" x14ac:dyDescent="0.2">
      <c r="B99" s="111" t="s">
        <v>363</v>
      </c>
      <c r="C99" s="112" t="s">
        <v>67</v>
      </c>
      <c r="D99" s="113">
        <v>0</v>
      </c>
      <c r="E99" s="113"/>
      <c r="F99" s="112"/>
      <c r="G99" s="114">
        <f>'14'!K24</f>
        <v>0</v>
      </c>
      <c r="H99" s="114"/>
      <c r="I99" s="112"/>
      <c r="J99" s="113"/>
      <c r="K99" s="115"/>
    </row>
    <row r="100" spans="2:11" s="101" customFormat="1" ht="18" hidden="1" customHeight="1" thickBot="1" x14ac:dyDescent="0.25">
      <c r="B100" s="116" t="s">
        <v>364</v>
      </c>
      <c r="C100" s="117" t="s">
        <v>68</v>
      </c>
      <c r="D100" s="118">
        <v>0</v>
      </c>
      <c r="E100" s="118"/>
      <c r="F100" s="117"/>
      <c r="G100" s="119">
        <f>'14'!K35+'14'!K43</f>
        <v>0</v>
      </c>
      <c r="H100" s="119"/>
      <c r="I100" s="117"/>
      <c r="J100" s="118"/>
      <c r="K100" s="120"/>
    </row>
    <row r="101" spans="2:11" ht="6.95" hidden="1" customHeight="1" thickBot="1" x14ac:dyDescent="0.3">
      <c r="B101" s="74"/>
      <c r="C101" s="75"/>
      <c r="D101" s="78"/>
      <c r="E101" s="78"/>
      <c r="F101" s="76"/>
      <c r="G101" s="85"/>
      <c r="H101" s="85"/>
      <c r="I101" s="76"/>
      <c r="J101" s="78"/>
      <c r="K101" s="76"/>
    </row>
    <row r="102" spans="2:11" s="101" customFormat="1" ht="21.6" customHeight="1" x14ac:dyDescent="0.2">
      <c r="B102" s="95" t="s">
        <v>367</v>
      </c>
      <c r="C102" s="96" t="s">
        <v>150</v>
      </c>
      <c r="D102" s="98"/>
      <c r="E102" s="98">
        <f>D103</f>
        <v>6114.5</v>
      </c>
      <c r="F102" s="102"/>
      <c r="G102" s="102"/>
      <c r="H102" s="98">
        <f>G103</f>
        <v>6938</v>
      </c>
      <c r="I102" s="97"/>
      <c r="J102" s="99" t="str">
        <f>IF(H102&gt;E102,"Increase","Decrease or No Change")</f>
        <v>Increase</v>
      </c>
      <c r="K102" s="100">
        <f>H102-E102</f>
        <v>823.5</v>
      </c>
    </row>
    <row r="103" spans="2:11" s="101" customFormat="1" ht="18" customHeight="1" thickBot="1" x14ac:dyDescent="0.25">
      <c r="B103" s="116" t="s">
        <v>368</v>
      </c>
      <c r="C103" s="117" t="s">
        <v>369</v>
      </c>
      <c r="D103" s="118">
        <v>6114.5</v>
      </c>
      <c r="E103" s="118"/>
      <c r="F103" s="117"/>
      <c r="G103" s="119">
        <f>'21'!K24</f>
        <v>6938</v>
      </c>
      <c r="H103" s="119"/>
      <c r="I103" s="117"/>
      <c r="J103" s="118"/>
      <c r="K103" s="120"/>
    </row>
    <row r="104" spans="2:11" ht="6.95" customHeight="1" thickBot="1" x14ac:dyDescent="0.3">
      <c r="B104" s="74"/>
      <c r="C104" s="75"/>
      <c r="D104" s="80"/>
      <c r="E104" s="80"/>
      <c r="F104" s="77"/>
      <c r="G104" s="85"/>
      <c r="H104" s="85"/>
      <c r="I104" s="77"/>
      <c r="J104" s="78"/>
      <c r="K104" s="76"/>
    </row>
    <row r="105" spans="2:11" s="101" customFormat="1" ht="21.6" customHeight="1" x14ac:dyDescent="0.2">
      <c r="B105" s="95" t="s">
        <v>370</v>
      </c>
      <c r="C105" s="96" t="s">
        <v>41</v>
      </c>
      <c r="D105" s="98"/>
      <c r="E105" s="98">
        <f>SUM(D106:D108)</f>
        <v>51251.739000000009</v>
      </c>
      <c r="F105" s="102"/>
      <c r="G105" s="102"/>
      <c r="H105" s="98">
        <f>SUM(G106:G108)</f>
        <v>129800</v>
      </c>
      <c r="I105" s="97"/>
      <c r="J105" s="99" t="str">
        <f>IF(H105&gt;E105,"Increase","Decrease or No Change")</f>
        <v>Increase</v>
      </c>
      <c r="K105" s="100">
        <f>H105-E105</f>
        <v>78548.260999999999</v>
      </c>
    </row>
    <row r="106" spans="2:11" s="101" customFormat="1" ht="18" customHeight="1" x14ac:dyDescent="0.2">
      <c r="B106" s="891" t="s">
        <v>371</v>
      </c>
      <c r="C106" s="892" t="s">
        <v>1147</v>
      </c>
      <c r="D106" s="894">
        <v>51251.739000000009</v>
      </c>
      <c r="E106" s="894"/>
      <c r="F106" s="892"/>
      <c r="G106" s="893">
        <f>'22'!K24</f>
        <v>129800</v>
      </c>
      <c r="H106" s="893"/>
      <c r="I106" s="892"/>
      <c r="J106" s="894"/>
      <c r="K106" s="895"/>
    </row>
    <row r="107" spans="2:11" s="101" customFormat="1" ht="18" hidden="1" customHeight="1" x14ac:dyDescent="0.2">
      <c r="B107" s="111" t="s">
        <v>373</v>
      </c>
      <c r="C107" s="112" t="s">
        <v>374</v>
      </c>
      <c r="D107" s="113">
        <v>0</v>
      </c>
      <c r="E107" s="113"/>
      <c r="F107" s="112"/>
      <c r="G107" s="114">
        <f>'22'!K35</f>
        <v>0</v>
      </c>
      <c r="H107" s="114"/>
      <c r="I107" s="112"/>
      <c r="J107" s="113"/>
      <c r="K107" s="115"/>
    </row>
    <row r="108" spans="2:11" s="101" customFormat="1" ht="18" hidden="1" customHeight="1" thickBot="1" x14ac:dyDescent="0.25">
      <c r="B108" s="116" t="s">
        <v>379</v>
      </c>
      <c r="C108" s="117" t="s">
        <v>380</v>
      </c>
      <c r="D108" s="118">
        <v>0</v>
      </c>
      <c r="E108" s="118"/>
      <c r="F108" s="117"/>
      <c r="G108" s="119">
        <f>'22'!K46+'22'!K67+'22'!K74</f>
        <v>0</v>
      </c>
      <c r="H108" s="119"/>
      <c r="I108" s="117"/>
      <c r="J108" s="118"/>
      <c r="K108" s="120"/>
    </row>
    <row r="109" spans="2:11" ht="6.95" customHeight="1" thickBot="1" x14ac:dyDescent="0.3">
      <c r="B109" s="74"/>
      <c r="C109" s="75"/>
      <c r="D109" s="80"/>
      <c r="E109" s="80"/>
      <c r="F109" s="77"/>
      <c r="G109" s="85"/>
      <c r="H109" s="85"/>
      <c r="I109" s="77"/>
      <c r="J109" s="78"/>
      <c r="K109" s="76"/>
    </row>
    <row r="110" spans="2:11" s="101" customFormat="1" ht="21.6" customHeight="1" x14ac:dyDescent="0.2">
      <c r="B110" s="95" t="s">
        <v>418</v>
      </c>
      <c r="C110" s="96" t="s">
        <v>42</v>
      </c>
      <c r="D110" s="98"/>
      <c r="E110" s="98">
        <f>SUM(D111:D118)</f>
        <v>20964</v>
      </c>
      <c r="F110" s="102"/>
      <c r="G110" s="102"/>
      <c r="H110" s="98">
        <f>SUM(G111:G118)</f>
        <v>37030</v>
      </c>
      <c r="I110" s="97"/>
      <c r="J110" s="99" t="str">
        <f>IF(H110&gt;E110,"Increase","Decrease or No Change")</f>
        <v>Increase</v>
      </c>
      <c r="K110" s="100">
        <f>H110-E110</f>
        <v>16066</v>
      </c>
    </row>
    <row r="111" spans="2:11" s="101" customFormat="1" ht="18" customHeight="1" x14ac:dyDescent="0.2">
      <c r="B111" s="111" t="s">
        <v>420</v>
      </c>
      <c r="C111" s="112" t="s">
        <v>1055</v>
      </c>
      <c r="D111" s="113">
        <v>20964</v>
      </c>
      <c r="E111" s="113"/>
      <c r="F111" s="112"/>
      <c r="G111" s="114">
        <f>'23'!K18</f>
        <v>37030</v>
      </c>
      <c r="H111" s="114"/>
      <c r="I111" s="112"/>
      <c r="J111" s="113"/>
      <c r="K111" s="115"/>
    </row>
    <row r="112" spans="2:11" s="101" customFormat="1" ht="18" hidden="1" customHeight="1" x14ac:dyDescent="0.2">
      <c r="B112" s="111" t="s">
        <v>422</v>
      </c>
      <c r="C112" s="112" t="s">
        <v>423</v>
      </c>
      <c r="D112" s="113">
        <v>0</v>
      </c>
      <c r="E112" s="113"/>
      <c r="F112" s="112"/>
      <c r="G112" s="114">
        <f>'23'!K25</f>
        <v>0</v>
      </c>
      <c r="H112" s="114"/>
      <c r="I112" s="112"/>
      <c r="J112" s="113"/>
      <c r="K112" s="115"/>
    </row>
    <row r="113" spans="2:11" s="101" customFormat="1" ht="18" hidden="1" customHeight="1" x14ac:dyDescent="0.2">
      <c r="B113" s="111" t="s">
        <v>424</v>
      </c>
      <c r="C113" s="112" t="s">
        <v>425</v>
      </c>
      <c r="D113" s="113">
        <v>0</v>
      </c>
      <c r="E113" s="113"/>
      <c r="F113" s="112"/>
      <c r="G113" s="114">
        <f>'23'!K31</f>
        <v>0</v>
      </c>
      <c r="H113" s="114"/>
      <c r="I113" s="112"/>
      <c r="J113" s="113"/>
      <c r="K113" s="115"/>
    </row>
    <row r="114" spans="2:11" s="101" customFormat="1" ht="18" hidden="1" customHeight="1" x14ac:dyDescent="0.2">
      <c r="B114" s="111" t="s">
        <v>426</v>
      </c>
      <c r="C114" s="112" t="s">
        <v>427</v>
      </c>
      <c r="D114" s="113">
        <v>0</v>
      </c>
      <c r="E114" s="113"/>
      <c r="F114" s="112"/>
      <c r="G114" s="114">
        <f>'23'!K38+'23'!K46</f>
        <v>0</v>
      </c>
      <c r="H114" s="114"/>
      <c r="I114" s="112"/>
      <c r="J114" s="113"/>
      <c r="K114" s="115"/>
    </row>
    <row r="115" spans="2:11" s="101" customFormat="1" ht="18" hidden="1" customHeight="1" x14ac:dyDescent="0.2">
      <c r="B115" s="111" t="s">
        <v>432</v>
      </c>
      <c r="C115" s="112" t="s">
        <v>433</v>
      </c>
      <c r="D115" s="113">
        <v>0</v>
      </c>
      <c r="E115" s="113"/>
      <c r="F115" s="112"/>
      <c r="G115" s="114">
        <f>'23'!K53+'23'!K58</f>
        <v>0</v>
      </c>
      <c r="H115" s="114"/>
      <c r="I115" s="112"/>
      <c r="J115" s="113"/>
      <c r="K115" s="115"/>
    </row>
    <row r="116" spans="2:11" s="101" customFormat="1" ht="18" hidden="1" customHeight="1" x14ac:dyDescent="0.2">
      <c r="B116" s="111" t="s">
        <v>436</v>
      </c>
      <c r="C116" s="112" t="s">
        <v>437</v>
      </c>
      <c r="D116" s="113">
        <v>0</v>
      </c>
      <c r="E116" s="113"/>
      <c r="F116" s="112"/>
      <c r="G116" s="114">
        <f>'23'!K73</f>
        <v>0</v>
      </c>
      <c r="H116" s="114"/>
      <c r="I116" s="112"/>
      <c r="J116" s="113"/>
      <c r="K116" s="115"/>
    </row>
    <row r="117" spans="2:11" s="101" customFormat="1" ht="18" hidden="1" customHeight="1" x14ac:dyDescent="0.2">
      <c r="B117" s="111" t="s">
        <v>454</v>
      </c>
      <c r="C117" s="112" t="s">
        <v>455</v>
      </c>
      <c r="D117" s="113">
        <v>0</v>
      </c>
      <c r="E117" s="113"/>
      <c r="F117" s="112"/>
      <c r="G117" s="114">
        <f>'23'!K79</f>
        <v>0</v>
      </c>
      <c r="H117" s="114"/>
      <c r="I117" s="112"/>
      <c r="J117" s="113"/>
      <c r="K117" s="115"/>
    </row>
    <row r="118" spans="2:11" s="101" customFormat="1" ht="18" hidden="1" customHeight="1" thickBot="1" x14ac:dyDescent="0.25">
      <c r="B118" s="116" t="s">
        <v>718</v>
      </c>
      <c r="C118" s="117" t="s">
        <v>719</v>
      </c>
      <c r="D118" s="118">
        <v>0</v>
      </c>
      <c r="E118" s="118"/>
      <c r="F118" s="117"/>
      <c r="G118" s="119">
        <f>'23'!K85+'23'!K91</f>
        <v>0</v>
      </c>
      <c r="H118" s="119"/>
      <c r="I118" s="117"/>
      <c r="J118" s="118"/>
      <c r="K118" s="120"/>
    </row>
    <row r="119" spans="2:11" ht="6.95" customHeight="1" thickBot="1" x14ac:dyDescent="0.3">
      <c r="B119" s="74"/>
      <c r="C119" s="75"/>
      <c r="D119" s="75"/>
      <c r="E119" s="75"/>
      <c r="F119" s="75"/>
      <c r="G119" s="75"/>
      <c r="H119" s="75"/>
      <c r="I119" s="75"/>
      <c r="J119" s="75"/>
      <c r="K119" s="75"/>
    </row>
    <row r="120" spans="2:11" s="101" customFormat="1" ht="21.6" hidden="1" customHeight="1" thickBot="1" x14ac:dyDescent="0.25">
      <c r="B120" s="104" t="s">
        <v>462</v>
      </c>
      <c r="C120" s="105" t="s">
        <v>463</v>
      </c>
      <c r="D120" s="106"/>
      <c r="E120" s="106">
        <f>'Estimate Summary'!E49</f>
        <v>0</v>
      </c>
      <c r="F120" s="108"/>
      <c r="G120" s="107"/>
      <c r="H120" s="106">
        <f>'Estimate Summary'!H49</f>
        <v>0</v>
      </c>
      <c r="I120" s="108"/>
      <c r="J120" s="109" t="str">
        <f>IF(H120&gt;E120,"Increase","Decrease or No Change")</f>
        <v>Decrease or No Change</v>
      </c>
      <c r="K120" s="110">
        <f>H120-E120</f>
        <v>0</v>
      </c>
    </row>
    <row r="121" spans="2:11" ht="6.95" hidden="1" customHeight="1" thickBot="1" x14ac:dyDescent="0.3">
      <c r="B121" s="74"/>
      <c r="C121" s="75"/>
      <c r="D121" s="80"/>
      <c r="E121" s="80"/>
      <c r="F121" s="77"/>
      <c r="G121" s="85"/>
      <c r="H121" s="85"/>
      <c r="I121" s="77"/>
      <c r="J121" s="78"/>
      <c r="K121" s="76"/>
    </row>
    <row r="122" spans="2:11" s="101" customFormat="1" ht="21.6" customHeight="1" x14ac:dyDescent="0.2">
      <c r="B122" s="95" t="s">
        <v>464</v>
      </c>
      <c r="C122" s="96" t="s">
        <v>10</v>
      </c>
      <c r="D122" s="98"/>
      <c r="E122" s="98">
        <f>SUM(D123:D125)</f>
        <v>53096.571000000004</v>
      </c>
      <c r="F122" s="102"/>
      <c r="G122" s="102"/>
      <c r="H122" s="98">
        <f>SUM(G123:G125)</f>
        <v>80800</v>
      </c>
      <c r="I122" s="97"/>
      <c r="J122" s="99" t="str">
        <f>IF(H122&gt;E122,"Increase","Decrease or No Change")</f>
        <v>Increase</v>
      </c>
      <c r="K122" s="100">
        <f>H122-E122</f>
        <v>27703.428999999996</v>
      </c>
    </row>
    <row r="123" spans="2:11" s="101" customFormat="1" ht="18" customHeight="1" x14ac:dyDescent="0.2">
      <c r="B123" s="891" t="s">
        <v>465</v>
      </c>
      <c r="C123" s="892" t="s">
        <v>1148</v>
      </c>
      <c r="D123" s="894">
        <v>53096.571000000004</v>
      </c>
      <c r="E123" s="894"/>
      <c r="F123" s="892"/>
      <c r="G123" s="893">
        <f>'26'!K26</f>
        <v>80800</v>
      </c>
      <c r="H123" s="893"/>
      <c r="I123" s="892"/>
      <c r="J123" s="894"/>
      <c r="K123" s="895"/>
    </row>
    <row r="124" spans="2:11" s="101" customFormat="1" ht="18" hidden="1" customHeight="1" x14ac:dyDescent="0.2">
      <c r="B124" s="111" t="s">
        <v>467</v>
      </c>
      <c r="C124" s="112" t="s">
        <v>720</v>
      </c>
      <c r="D124" s="113">
        <v>0</v>
      </c>
      <c r="E124" s="113"/>
      <c r="F124" s="112"/>
      <c r="G124" s="114">
        <f>'26'!K37</f>
        <v>0</v>
      </c>
      <c r="H124" s="114"/>
      <c r="I124" s="112"/>
      <c r="J124" s="113"/>
      <c r="K124" s="115"/>
    </row>
    <row r="125" spans="2:11" s="101" customFormat="1" ht="18" hidden="1" customHeight="1" thickBot="1" x14ac:dyDescent="0.25">
      <c r="B125" s="116" t="s">
        <v>479</v>
      </c>
      <c r="C125" s="117" t="s">
        <v>80</v>
      </c>
      <c r="D125" s="118">
        <v>0</v>
      </c>
      <c r="E125" s="118"/>
      <c r="F125" s="117"/>
      <c r="G125" s="119">
        <f>'26'!K45</f>
        <v>0</v>
      </c>
      <c r="H125" s="119"/>
      <c r="I125" s="117"/>
      <c r="J125" s="118"/>
      <c r="K125" s="120"/>
    </row>
    <row r="126" spans="2:11" ht="6.95" customHeight="1" thickBot="1" x14ac:dyDescent="0.3">
      <c r="B126" s="74"/>
      <c r="C126" s="75"/>
      <c r="D126" s="80"/>
      <c r="E126" s="80"/>
      <c r="F126" s="77"/>
      <c r="G126" s="85"/>
      <c r="H126" s="85"/>
      <c r="I126" s="77"/>
      <c r="J126" s="78"/>
      <c r="K126" s="76"/>
    </row>
    <row r="127" spans="2:11" s="101" customFormat="1" ht="21.6" customHeight="1" x14ac:dyDescent="0.2">
      <c r="B127" s="95" t="s">
        <v>486</v>
      </c>
      <c r="C127" s="96" t="s">
        <v>487</v>
      </c>
      <c r="D127" s="98"/>
      <c r="E127" s="98">
        <f>SUM(D128:D132)</f>
        <v>8472.9499999999989</v>
      </c>
      <c r="F127" s="97"/>
      <c r="G127" s="102"/>
      <c r="H127" s="98">
        <f>SUM(G128:G132)</f>
        <v>0</v>
      </c>
      <c r="I127" s="97"/>
      <c r="J127" s="99" t="str">
        <f>IF(H127&gt;E127,"Increase","Decrease or No Change")</f>
        <v>Decrease or No Change</v>
      </c>
      <c r="K127" s="100">
        <f>H127-E127</f>
        <v>-8472.9499999999989</v>
      </c>
    </row>
    <row r="128" spans="2:11" s="101" customFormat="1" ht="18" customHeight="1" x14ac:dyDescent="0.2">
      <c r="B128" s="111" t="s">
        <v>488</v>
      </c>
      <c r="C128" s="112" t="s">
        <v>489</v>
      </c>
      <c r="D128" s="113">
        <v>8472.9499999999989</v>
      </c>
      <c r="E128" s="113"/>
      <c r="F128" s="112"/>
      <c r="G128" s="114">
        <f>'27'!K24</f>
        <v>0</v>
      </c>
      <c r="H128" s="114"/>
      <c r="I128" s="112"/>
      <c r="J128" s="113"/>
      <c r="K128" s="115"/>
    </row>
    <row r="129" spans="2:11" s="101" customFormat="1" ht="18" hidden="1" customHeight="1" x14ac:dyDescent="0.2">
      <c r="B129" s="111" t="s">
        <v>490</v>
      </c>
      <c r="C129" s="112" t="s">
        <v>491</v>
      </c>
      <c r="D129" s="113">
        <v>0</v>
      </c>
      <c r="E129" s="113"/>
      <c r="F129" s="112"/>
      <c r="G129" s="114">
        <f>'27'!K35</f>
        <v>0</v>
      </c>
      <c r="H129" s="114"/>
      <c r="I129" s="112"/>
      <c r="J129" s="113"/>
      <c r="K129" s="115"/>
    </row>
    <row r="130" spans="2:11" s="101" customFormat="1" ht="18" hidden="1" customHeight="1" x14ac:dyDescent="0.2">
      <c r="B130" s="111" t="s">
        <v>496</v>
      </c>
      <c r="C130" s="112" t="s">
        <v>497</v>
      </c>
      <c r="D130" s="113">
        <v>0</v>
      </c>
      <c r="E130" s="113"/>
      <c r="F130" s="112"/>
      <c r="G130" s="114">
        <f>'27'!K43</f>
        <v>0</v>
      </c>
      <c r="H130" s="114"/>
      <c r="I130" s="112"/>
      <c r="J130" s="113"/>
      <c r="K130" s="115"/>
    </row>
    <row r="131" spans="2:11" s="101" customFormat="1" ht="18" hidden="1" customHeight="1" x14ac:dyDescent="0.2">
      <c r="B131" s="111" t="s">
        <v>498</v>
      </c>
      <c r="C131" s="112" t="s">
        <v>499</v>
      </c>
      <c r="D131" s="113">
        <v>0</v>
      </c>
      <c r="E131" s="113"/>
      <c r="F131" s="112"/>
      <c r="G131" s="114">
        <f>'27'!K52</f>
        <v>0</v>
      </c>
      <c r="H131" s="114"/>
      <c r="I131" s="112"/>
      <c r="J131" s="113"/>
      <c r="K131" s="115"/>
    </row>
    <row r="132" spans="2:11" s="101" customFormat="1" ht="18" hidden="1" customHeight="1" thickBot="1" x14ac:dyDescent="0.25">
      <c r="B132" s="116" t="s">
        <v>500</v>
      </c>
      <c r="C132" s="117" t="s">
        <v>501</v>
      </c>
      <c r="D132" s="118">
        <v>0</v>
      </c>
      <c r="E132" s="118"/>
      <c r="F132" s="117"/>
      <c r="G132" s="119">
        <f>'27'!K63</f>
        <v>0</v>
      </c>
      <c r="H132" s="119"/>
      <c r="I132" s="117"/>
      <c r="J132" s="118"/>
      <c r="K132" s="120"/>
    </row>
    <row r="133" spans="2:11" ht="6.95" customHeight="1" thickBot="1" x14ac:dyDescent="0.3">
      <c r="B133" s="74"/>
      <c r="C133" s="75"/>
      <c r="D133" s="78"/>
      <c r="E133" s="78"/>
      <c r="F133" s="76"/>
      <c r="G133" s="85"/>
      <c r="H133" s="85"/>
      <c r="I133" s="76"/>
      <c r="J133" s="78"/>
      <c r="K133" s="76"/>
    </row>
    <row r="134" spans="2:11" s="101" customFormat="1" ht="21.6" hidden="1" customHeight="1" x14ac:dyDescent="0.2">
      <c r="B134" s="95" t="s">
        <v>502</v>
      </c>
      <c r="C134" s="96" t="s">
        <v>503</v>
      </c>
      <c r="D134" s="98"/>
      <c r="E134" s="98">
        <f>SUM(D135:D138)</f>
        <v>0</v>
      </c>
      <c r="F134" s="102"/>
      <c r="G134" s="102"/>
      <c r="H134" s="98">
        <f>SUM(G135:G138)</f>
        <v>0</v>
      </c>
      <c r="I134" s="97"/>
      <c r="J134" s="99" t="str">
        <f>IF(H134&gt;E134,"Increase","Decrease or No Change")</f>
        <v>Decrease or No Change</v>
      </c>
      <c r="K134" s="100">
        <f>H134-E134</f>
        <v>0</v>
      </c>
    </row>
    <row r="135" spans="2:11" s="101" customFormat="1" ht="18" hidden="1" customHeight="1" x14ac:dyDescent="0.2">
      <c r="B135" s="111" t="s">
        <v>504</v>
      </c>
      <c r="C135" s="112" t="s">
        <v>505</v>
      </c>
      <c r="D135" s="113">
        <v>0</v>
      </c>
      <c r="E135" s="113"/>
      <c r="F135" s="112"/>
      <c r="G135" s="114">
        <f>'28'!K24</f>
        <v>0</v>
      </c>
      <c r="H135" s="114"/>
      <c r="I135" s="112"/>
      <c r="J135" s="88"/>
      <c r="K135" s="115"/>
    </row>
    <row r="136" spans="2:11" s="101" customFormat="1" ht="18" hidden="1" customHeight="1" x14ac:dyDescent="0.2">
      <c r="B136" s="111" t="s">
        <v>508</v>
      </c>
      <c r="C136" s="112" t="s">
        <v>509</v>
      </c>
      <c r="D136" s="113">
        <v>0</v>
      </c>
      <c r="E136" s="113"/>
      <c r="F136" s="112"/>
      <c r="G136" s="114">
        <f>'28'!K35</f>
        <v>0</v>
      </c>
      <c r="H136" s="114"/>
      <c r="I136" s="112"/>
      <c r="J136" s="113"/>
      <c r="K136" s="115"/>
    </row>
    <row r="137" spans="2:11" s="101" customFormat="1" ht="18" hidden="1" customHeight="1" x14ac:dyDescent="0.2">
      <c r="B137" s="111" t="s">
        <v>510</v>
      </c>
      <c r="C137" s="112" t="s">
        <v>511</v>
      </c>
      <c r="D137" s="113">
        <v>0</v>
      </c>
      <c r="E137" s="113"/>
      <c r="F137" s="112"/>
      <c r="G137" s="114">
        <f>'28'!K43</f>
        <v>0</v>
      </c>
      <c r="H137" s="114"/>
      <c r="I137" s="112"/>
      <c r="J137" s="113"/>
      <c r="K137" s="115"/>
    </row>
    <row r="138" spans="2:11" s="101" customFormat="1" ht="18" hidden="1" customHeight="1" thickBot="1" x14ac:dyDescent="0.25">
      <c r="B138" s="116" t="s">
        <v>512</v>
      </c>
      <c r="C138" s="117" t="s">
        <v>514</v>
      </c>
      <c r="D138" s="118">
        <v>0</v>
      </c>
      <c r="E138" s="118"/>
      <c r="F138" s="117"/>
      <c r="G138" s="119">
        <f>'28'!K52</f>
        <v>0</v>
      </c>
      <c r="H138" s="119"/>
      <c r="I138" s="117"/>
      <c r="J138" s="118"/>
      <c r="K138" s="120"/>
    </row>
    <row r="139" spans="2:11" ht="6.95" hidden="1" customHeight="1" thickBot="1" x14ac:dyDescent="0.3">
      <c r="B139" s="74"/>
      <c r="C139" s="75"/>
      <c r="D139" s="78"/>
      <c r="E139" s="78"/>
      <c r="F139" s="76"/>
      <c r="G139" s="85"/>
      <c r="H139" s="85"/>
      <c r="I139" s="76"/>
      <c r="J139" s="78"/>
      <c r="K139" s="76"/>
    </row>
    <row r="140" spans="2:11" s="101" customFormat="1" ht="21.6" hidden="1" customHeight="1" x14ac:dyDescent="0.2">
      <c r="B140" s="95" t="s">
        <v>516</v>
      </c>
      <c r="C140" s="96" t="s">
        <v>517</v>
      </c>
      <c r="D140" s="98"/>
      <c r="E140" s="98">
        <f>SUM(D141:D144)</f>
        <v>0</v>
      </c>
      <c r="F140" s="97"/>
      <c r="G140" s="102"/>
      <c r="H140" s="98">
        <f>SUM(G141:G144)</f>
        <v>0</v>
      </c>
      <c r="I140" s="97"/>
      <c r="J140" s="99" t="str">
        <f>IF(H140&gt;E140,"Increase","Decrease or No Change")</f>
        <v>Decrease or No Change</v>
      </c>
      <c r="K140" s="100">
        <f>H140-E140</f>
        <v>0</v>
      </c>
    </row>
    <row r="141" spans="2:11" s="101" customFormat="1" ht="18" hidden="1" customHeight="1" x14ac:dyDescent="0.2">
      <c r="B141" s="111" t="s">
        <v>518</v>
      </c>
      <c r="C141" s="112" t="s">
        <v>519</v>
      </c>
      <c r="D141" s="113">
        <v>0</v>
      </c>
      <c r="E141" s="113"/>
      <c r="F141" s="112"/>
      <c r="G141" s="114">
        <f>'31'!K26</f>
        <v>0</v>
      </c>
      <c r="H141" s="114"/>
      <c r="I141" s="112"/>
      <c r="J141" s="113"/>
      <c r="K141" s="115"/>
    </row>
    <row r="142" spans="2:11" s="101" customFormat="1" ht="18" hidden="1" customHeight="1" x14ac:dyDescent="0.2">
      <c r="B142" s="111" t="s">
        <v>522</v>
      </c>
      <c r="C142" s="112" t="s">
        <v>523</v>
      </c>
      <c r="D142" s="113">
        <v>0</v>
      </c>
      <c r="E142" s="113"/>
      <c r="F142" s="112"/>
      <c r="G142" s="114">
        <f>'31'!K49</f>
        <v>0</v>
      </c>
      <c r="H142" s="114"/>
      <c r="I142" s="112"/>
      <c r="J142" s="113"/>
      <c r="K142" s="115"/>
    </row>
    <row r="143" spans="2:11" s="101" customFormat="1" ht="18" hidden="1" customHeight="1" x14ac:dyDescent="0.2">
      <c r="B143" s="111" t="s">
        <v>721</v>
      </c>
      <c r="C143" s="112" t="s">
        <v>722</v>
      </c>
      <c r="D143" s="113">
        <v>0</v>
      </c>
      <c r="E143" s="113"/>
      <c r="F143" s="112"/>
      <c r="G143" s="114">
        <f>'31'!K57</f>
        <v>0</v>
      </c>
      <c r="H143" s="114"/>
      <c r="I143" s="112"/>
      <c r="J143" s="113"/>
      <c r="K143" s="115"/>
    </row>
    <row r="144" spans="2:11" s="101" customFormat="1" ht="18" hidden="1" customHeight="1" thickBot="1" x14ac:dyDescent="0.25">
      <c r="B144" s="116" t="s">
        <v>559</v>
      </c>
      <c r="C144" s="117" t="s">
        <v>560</v>
      </c>
      <c r="D144" s="118">
        <v>0</v>
      </c>
      <c r="E144" s="118"/>
      <c r="F144" s="117"/>
      <c r="G144" s="119">
        <f>'31'!K66</f>
        <v>0</v>
      </c>
      <c r="H144" s="119"/>
      <c r="I144" s="117"/>
      <c r="J144" s="118"/>
      <c r="K144" s="120"/>
    </row>
    <row r="145" spans="2:11" ht="6.95" hidden="1" customHeight="1" thickBot="1" x14ac:dyDescent="0.3">
      <c r="B145" s="74"/>
      <c r="C145" s="75"/>
      <c r="D145" s="78"/>
      <c r="E145" s="78"/>
      <c r="F145" s="76"/>
      <c r="G145" s="85"/>
      <c r="H145" s="85"/>
      <c r="I145" s="76"/>
      <c r="J145" s="78"/>
      <c r="K145" s="76"/>
    </row>
    <row r="146" spans="2:11" s="101" customFormat="1" ht="21.6" hidden="1" customHeight="1" x14ac:dyDescent="0.2">
      <c r="B146" s="95" t="s">
        <v>561</v>
      </c>
      <c r="C146" s="96" t="s">
        <v>562</v>
      </c>
      <c r="D146" s="98"/>
      <c r="E146" s="98">
        <f>SUM(D147:D149)</f>
        <v>0</v>
      </c>
      <c r="F146" s="97"/>
      <c r="G146" s="102"/>
      <c r="H146" s="98">
        <f>SUM(G147:G149)</f>
        <v>0</v>
      </c>
      <c r="I146" s="97"/>
      <c r="J146" s="99" t="str">
        <f>IF(H146&gt;E146,"Increase","Decrease or No Change")</f>
        <v>Decrease or No Change</v>
      </c>
      <c r="K146" s="100">
        <f>H146-E146</f>
        <v>0</v>
      </c>
    </row>
    <row r="147" spans="2:11" s="101" customFormat="1" ht="18" hidden="1" customHeight="1" x14ac:dyDescent="0.2">
      <c r="B147" s="111" t="s">
        <v>563</v>
      </c>
      <c r="C147" s="112" t="s">
        <v>564</v>
      </c>
      <c r="D147" s="113">
        <v>0</v>
      </c>
      <c r="E147" s="113"/>
      <c r="F147" s="112"/>
      <c r="G147" s="114">
        <f>'32'!K21+'32'!K33+'32'!K41</f>
        <v>0</v>
      </c>
      <c r="H147" s="114"/>
      <c r="I147" s="112"/>
      <c r="J147" s="113"/>
      <c r="K147" s="115"/>
    </row>
    <row r="148" spans="2:11" s="101" customFormat="1" ht="18" hidden="1" customHeight="1" x14ac:dyDescent="0.2">
      <c r="B148" s="111" t="s">
        <v>594</v>
      </c>
      <c r="C148" s="112" t="s">
        <v>595</v>
      </c>
      <c r="D148" s="113">
        <v>0</v>
      </c>
      <c r="E148" s="113"/>
      <c r="F148" s="112"/>
      <c r="G148" s="114">
        <f>'32'!K50</f>
        <v>0</v>
      </c>
      <c r="H148" s="114"/>
      <c r="I148" s="112"/>
      <c r="J148" s="113"/>
      <c r="K148" s="115"/>
    </row>
    <row r="149" spans="2:11" s="101" customFormat="1" ht="18" hidden="1" customHeight="1" thickBot="1" x14ac:dyDescent="0.25">
      <c r="B149" s="116" t="s">
        <v>604</v>
      </c>
      <c r="C149" s="117" t="s">
        <v>605</v>
      </c>
      <c r="D149" s="118">
        <v>0</v>
      </c>
      <c r="E149" s="118"/>
      <c r="F149" s="117"/>
      <c r="G149" s="119">
        <f>'32'!K61</f>
        <v>0</v>
      </c>
      <c r="H149" s="119"/>
      <c r="I149" s="117"/>
      <c r="J149" s="118"/>
      <c r="K149" s="120"/>
    </row>
    <row r="150" spans="2:11" ht="6.95" hidden="1" customHeight="1" thickBot="1" x14ac:dyDescent="0.3">
      <c r="B150" s="74"/>
      <c r="C150" s="75"/>
      <c r="D150" s="78"/>
      <c r="E150" s="78"/>
      <c r="F150" s="76"/>
      <c r="G150" s="85"/>
      <c r="H150" s="85"/>
      <c r="I150" s="76"/>
      <c r="J150" s="78"/>
      <c r="K150" s="76"/>
    </row>
    <row r="151" spans="2:11" s="101" customFormat="1" ht="21.6" hidden="1" customHeight="1" x14ac:dyDescent="0.2">
      <c r="B151" s="95" t="s">
        <v>612</v>
      </c>
      <c r="C151" s="96" t="s">
        <v>613</v>
      </c>
      <c r="D151" s="98"/>
      <c r="E151" s="98">
        <f>SUM(D152:D155)</f>
        <v>0</v>
      </c>
      <c r="F151" s="97"/>
      <c r="G151" s="102"/>
      <c r="H151" s="98">
        <f>SUM(G152:G155)</f>
        <v>0</v>
      </c>
      <c r="I151" s="97"/>
      <c r="J151" s="99" t="str">
        <f>IF(H151&gt;E151,"Increase","Decrease or No Change")</f>
        <v>Decrease or No Change</v>
      </c>
      <c r="K151" s="100">
        <f>H151-E151</f>
        <v>0</v>
      </c>
    </row>
    <row r="152" spans="2:11" s="101" customFormat="1" ht="18" hidden="1" customHeight="1" x14ac:dyDescent="0.2">
      <c r="B152" s="111" t="s">
        <v>614</v>
      </c>
      <c r="C152" s="112" t="s">
        <v>615</v>
      </c>
      <c r="D152" s="113">
        <v>0</v>
      </c>
      <c r="E152" s="113"/>
      <c r="F152" s="112"/>
      <c r="G152" s="114">
        <f>'33'!K26</f>
        <v>0</v>
      </c>
      <c r="H152" s="114"/>
      <c r="I152" s="112"/>
      <c r="J152" s="113"/>
      <c r="K152" s="115"/>
    </row>
    <row r="153" spans="2:11" s="101" customFormat="1" ht="18" hidden="1" customHeight="1" x14ac:dyDescent="0.2">
      <c r="B153" s="111" t="s">
        <v>620</v>
      </c>
      <c r="C153" s="112" t="s">
        <v>621</v>
      </c>
      <c r="D153" s="113">
        <v>0</v>
      </c>
      <c r="E153" s="113"/>
      <c r="F153" s="112"/>
      <c r="G153" s="114">
        <f>'33'!K37</f>
        <v>0</v>
      </c>
      <c r="H153" s="114"/>
      <c r="I153" s="112"/>
      <c r="J153" s="113"/>
      <c r="K153" s="115"/>
    </row>
    <row r="154" spans="2:11" s="101" customFormat="1" ht="18" hidden="1" customHeight="1" x14ac:dyDescent="0.2">
      <c r="B154" s="111" t="s">
        <v>626</v>
      </c>
      <c r="C154" s="112" t="s">
        <v>627</v>
      </c>
      <c r="D154" s="113">
        <v>0</v>
      </c>
      <c r="E154" s="113"/>
      <c r="F154" s="112"/>
      <c r="G154" s="114">
        <f>'33'!K45</f>
        <v>0</v>
      </c>
      <c r="H154" s="114"/>
      <c r="I154" s="112"/>
      <c r="J154" s="113"/>
      <c r="K154" s="115"/>
    </row>
    <row r="155" spans="2:11" ht="15" hidden="1" customHeight="1" thickBot="1" x14ac:dyDescent="0.3">
      <c r="B155" s="81" t="s">
        <v>636</v>
      </c>
      <c r="C155" s="72" t="s">
        <v>637</v>
      </c>
      <c r="D155" s="71">
        <v>0</v>
      </c>
      <c r="E155" s="71"/>
      <c r="F155" s="72"/>
      <c r="G155" s="70">
        <f>'33'!K54</f>
        <v>0</v>
      </c>
      <c r="H155" s="70"/>
      <c r="I155" s="72"/>
      <c r="J155" s="71"/>
      <c r="K155" s="73"/>
    </row>
    <row r="156" spans="2:11" ht="6.95" customHeight="1" x14ac:dyDescent="0.25">
      <c r="B156" s="74"/>
      <c r="C156" s="75"/>
      <c r="D156" s="78"/>
      <c r="E156" s="78"/>
      <c r="F156" s="76"/>
      <c r="G156" s="76"/>
      <c r="H156" s="76"/>
      <c r="I156" s="76"/>
      <c r="J156" s="78"/>
      <c r="K156" s="89"/>
    </row>
    <row r="157" spans="2:11" ht="15" customHeight="1" x14ac:dyDescent="0.2">
      <c r="B157" s="17"/>
      <c r="C157" s="911" t="s">
        <v>685</v>
      </c>
      <c r="D157" s="913">
        <v>24541.530753600004</v>
      </c>
      <c r="E157" s="913"/>
      <c r="F157" s="24"/>
      <c r="G157" s="914">
        <f>'Estimate Summary'!D68</f>
        <v>36237.312237600003</v>
      </c>
      <c r="H157" s="914"/>
      <c r="J157" s="900" t="str">
        <f>IF(G157&gt;D157,"Increase","Decrease or No Change")</f>
        <v>Increase</v>
      </c>
      <c r="K157" s="912">
        <f>G157-D157</f>
        <v>11695.781483999999</v>
      </c>
    </row>
    <row r="158" spans="2:11" ht="15" customHeight="1" x14ac:dyDescent="0.2">
      <c r="B158" s="17"/>
      <c r="C158" s="911"/>
      <c r="D158" s="913"/>
      <c r="E158" s="913"/>
      <c r="F158" s="24"/>
      <c r="G158" s="914"/>
      <c r="H158" s="914"/>
      <c r="J158" s="900"/>
      <c r="K158" s="912"/>
    </row>
    <row r="159" spans="2:11" ht="15" customHeight="1" x14ac:dyDescent="0.2">
      <c r="B159" s="17"/>
      <c r="C159" s="883" t="s">
        <v>1146</v>
      </c>
      <c r="D159" s="24"/>
      <c r="E159" s="24">
        <v>51537.214582560002</v>
      </c>
      <c r="F159" s="24"/>
      <c r="G159" s="885"/>
      <c r="H159" s="885"/>
      <c r="J159" s="882"/>
      <c r="K159" s="884"/>
    </row>
    <row r="160" spans="2:11" ht="15" customHeight="1" x14ac:dyDescent="0.2">
      <c r="B160" s="17"/>
      <c r="C160" s="915" t="s">
        <v>91</v>
      </c>
      <c r="D160" s="919">
        <f>SUM(E8:E155)+D157+E159</f>
        <v>566909.36040816002</v>
      </c>
      <c r="E160" s="919"/>
      <c r="F160" s="50"/>
      <c r="G160" s="919">
        <f>SUM(H8:H155)+G157</f>
        <v>755283.55698959995</v>
      </c>
      <c r="H160" s="919"/>
      <c r="J160" s="900" t="str">
        <f>IF(G160&gt;D160,"Increase","Decrease or No Change")</f>
        <v>Increase</v>
      </c>
      <c r="K160" s="912">
        <f>G160-D160</f>
        <v>188374.19658143993</v>
      </c>
    </row>
    <row r="161" spans="2:13" ht="15" customHeight="1" x14ac:dyDescent="0.2">
      <c r="B161" s="17"/>
      <c r="C161" s="915"/>
      <c r="D161" s="919"/>
      <c r="E161" s="919"/>
      <c r="F161" s="50"/>
      <c r="G161" s="919"/>
      <c r="H161" s="919"/>
      <c r="J161" s="900"/>
      <c r="K161" s="912"/>
    </row>
    <row r="162" spans="2:13" ht="15" customHeight="1" x14ac:dyDescent="0.2">
      <c r="B162" s="17"/>
      <c r="C162" s="25"/>
      <c r="D162" s="920"/>
      <c r="E162" s="920"/>
      <c r="F162" s="51"/>
      <c r="G162" s="26"/>
      <c r="H162" s="26"/>
      <c r="J162" s="65"/>
      <c r="K162" s="897">
        <f>(G160-D160)/D160</f>
        <v>0.33228274171697464</v>
      </c>
    </row>
    <row r="163" spans="2:13" ht="15" customHeight="1" x14ac:dyDescent="0.2">
      <c r="B163" s="17"/>
      <c r="C163" s="25"/>
      <c r="D163" s="920"/>
      <c r="E163" s="920"/>
      <c r="F163" s="51"/>
      <c r="G163" s="26"/>
      <c r="H163" s="26"/>
      <c r="J163" s="65"/>
      <c r="K163" s="66"/>
    </row>
    <row r="164" spans="2:13" ht="15" customHeight="1" x14ac:dyDescent="0.2">
      <c r="B164" s="17"/>
      <c r="C164" s="25"/>
      <c r="D164" s="921"/>
      <c r="E164" s="921"/>
      <c r="F164" s="50"/>
      <c r="G164" s="26"/>
      <c r="H164" s="26"/>
      <c r="J164" s="65"/>
      <c r="K164" s="66"/>
    </row>
    <row r="165" spans="2:13" ht="15" customHeight="1" thickBot="1" x14ac:dyDescent="0.25">
      <c r="B165" s="18"/>
      <c r="C165" s="19"/>
      <c r="D165" s="27"/>
      <c r="E165" s="28"/>
      <c r="F165" s="28"/>
      <c r="G165" s="20"/>
      <c r="H165" s="20"/>
      <c r="I165" s="28"/>
      <c r="J165" s="27"/>
      <c r="K165" s="67"/>
    </row>
    <row r="166" spans="2:13" ht="13.5" thickTop="1" x14ac:dyDescent="0.2"/>
    <row r="168" spans="2:13" x14ac:dyDescent="0.2">
      <c r="C168" s="29"/>
      <c r="D168" s="29"/>
      <c r="E168" s="29"/>
      <c r="G168" s="29"/>
      <c r="J168" s="30"/>
      <c r="L168" s="31"/>
      <c r="M168" s="2"/>
    </row>
    <row r="169" spans="2:13" x14ac:dyDescent="0.2">
      <c r="C169"/>
      <c r="G169" s="32"/>
      <c r="H169" s="2"/>
      <c r="J169" s="30"/>
      <c r="L169" s="31"/>
      <c r="M169" s="2"/>
    </row>
    <row r="170" spans="2:13" x14ac:dyDescent="0.2">
      <c r="C170"/>
      <c r="G170" s="32"/>
      <c r="H170" s="2"/>
      <c r="J170" s="30"/>
      <c r="L170" s="31"/>
      <c r="M170" s="2"/>
    </row>
    <row r="171" spans="2:13" x14ac:dyDescent="0.2">
      <c r="C171"/>
      <c r="G171" s="32"/>
      <c r="H171" s="33"/>
      <c r="J171" s="30"/>
      <c r="L171" s="31"/>
      <c r="M171" s="2"/>
    </row>
    <row r="172" spans="2:13" x14ac:dyDescent="0.2">
      <c r="C172"/>
      <c r="G172" s="32"/>
      <c r="H172" s="33"/>
    </row>
    <row r="173" spans="2:13" x14ac:dyDescent="0.2">
      <c r="C173"/>
      <c r="D173" s="29"/>
      <c r="E173" s="29"/>
      <c r="G173" s="32"/>
      <c r="H173" s="2"/>
    </row>
  </sheetData>
  <mergeCells count="20">
    <mergeCell ref="G160:H161"/>
    <mergeCell ref="D162:E162"/>
    <mergeCell ref="D163:E163"/>
    <mergeCell ref="D164:E164"/>
    <mergeCell ref="J160:J161"/>
    <mergeCell ref="B2:C2"/>
    <mergeCell ref="I2:K4"/>
    <mergeCell ref="B3:C3"/>
    <mergeCell ref="C157:C158"/>
    <mergeCell ref="K157:K158"/>
    <mergeCell ref="D157:E158"/>
    <mergeCell ref="G157:H158"/>
    <mergeCell ref="J157:J158"/>
    <mergeCell ref="K160:K161"/>
    <mergeCell ref="C160:C161"/>
    <mergeCell ref="D6:E6"/>
    <mergeCell ref="D7:E7"/>
    <mergeCell ref="G6:H6"/>
    <mergeCell ref="G7:H7"/>
    <mergeCell ref="D160:E161"/>
  </mergeCells>
  <pageMargins left="0.7" right="1.2814814814814814" top="0.75" bottom="0.75" header="0.3" footer="0.3"/>
  <pageSetup scale="35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3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161"/>
  <sheetViews>
    <sheetView tabSelected="1" view="pageBreakPreview" zoomScaleNormal="100" zoomScaleSheetLayoutView="100" zoomScalePageLayoutView="90" workbookViewId="0">
      <selection activeCell="G19" sqref="G19"/>
    </sheetView>
  </sheetViews>
  <sheetFormatPr defaultColWidth="11.42578125" defaultRowHeight="12.75" x14ac:dyDescent="0.2"/>
  <cols>
    <col min="1" max="1" width="1.140625" style="157" customWidth="1"/>
    <col min="2" max="2" width="13.140625" style="158" bestFit="1" customWidth="1"/>
    <col min="3" max="3" width="58.140625" style="159" customWidth="1"/>
    <col min="4" max="4" width="14.42578125" style="159" hidden="1" customWidth="1"/>
    <col min="5" max="5" width="12.42578125" style="159" hidden="1" customWidth="1"/>
    <col min="6" max="6" width="12.85546875" style="157" hidden="1" customWidth="1"/>
    <col min="7" max="7" width="25.85546875" style="157" customWidth="1"/>
    <col min="8" max="8" width="23.140625" style="157" customWidth="1"/>
    <col min="9" max="9" width="6.85546875" style="157" customWidth="1"/>
    <col min="10" max="10" width="8.140625" style="157" customWidth="1"/>
    <col min="11" max="16384" width="11.42578125" style="157"/>
  </cols>
  <sheetData>
    <row r="1" spans="2:9" ht="33.75" customHeight="1" thickBot="1" x14ac:dyDescent="0.25">
      <c r="B1" s="138"/>
      <c r="C1" s="139"/>
      <c r="D1" s="139"/>
      <c r="E1" s="139"/>
      <c r="F1" s="156"/>
      <c r="G1" s="140"/>
      <c r="H1" s="141"/>
      <c r="I1" s="160"/>
    </row>
    <row r="2" spans="2:9" ht="6" customHeight="1" x14ac:dyDescent="0.2">
      <c r="B2" s="161"/>
      <c r="C2" s="162"/>
      <c r="D2" s="162"/>
      <c r="E2" s="162"/>
      <c r="F2" s="163"/>
      <c r="G2" s="164"/>
      <c r="H2" s="165"/>
      <c r="I2" s="160"/>
    </row>
    <row r="3" spans="2:9" ht="21" customHeight="1" x14ac:dyDescent="0.3">
      <c r="B3" s="929" t="str">
        <f>'Estimate Summary'!D5</f>
        <v>Dr. Goel Dental Office</v>
      </c>
      <c r="C3" s="930"/>
      <c r="D3" s="166"/>
      <c r="E3" s="166"/>
      <c r="F3" s="925" t="s">
        <v>958</v>
      </c>
      <c r="G3" s="925"/>
      <c r="H3" s="926"/>
    </row>
    <row r="4" spans="2:9" ht="18" x14ac:dyDescent="0.25">
      <c r="B4" s="923" t="s">
        <v>1065</v>
      </c>
      <c r="C4" s="924"/>
      <c r="D4" s="167"/>
      <c r="E4" s="167"/>
      <c r="F4" s="925"/>
      <c r="G4" s="925"/>
      <c r="H4" s="926"/>
    </row>
    <row r="5" spans="2:9" ht="18" customHeight="1" x14ac:dyDescent="0.2">
      <c r="B5" s="168" t="s">
        <v>776</v>
      </c>
      <c r="C5" s="169">
        <f>'Estimate Summary'!B3</f>
        <v>46030</v>
      </c>
      <c r="D5" s="170"/>
      <c r="E5" s="170"/>
      <c r="F5" s="927"/>
      <c r="G5" s="927"/>
      <c r="H5" s="928"/>
    </row>
    <row r="6" spans="2:9" ht="9" customHeight="1" thickBot="1" x14ac:dyDescent="0.25">
      <c r="B6" s="171"/>
      <c r="C6" s="172"/>
      <c r="D6" s="172"/>
      <c r="E6" s="172"/>
      <c r="F6" s="173"/>
      <c r="G6" s="174"/>
      <c r="H6" s="175"/>
    </row>
    <row r="7" spans="2:9" ht="18" customHeight="1" x14ac:dyDescent="0.25">
      <c r="B7" s="176" t="s">
        <v>684</v>
      </c>
      <c r="C7" s="177" t="s">
        <v>3</v>
      </c>
      <c r="D7" s="177"/>
      <c r="E7" s="177"/>
      <c r="F7" s="178"/>
      <c r="G7" s="179"/>
      <c r="H7" s="180">
        <f>SUM(G8:G17)</f>
        <v>125764.00475199999</v>
      </c>
    </row>
    <row r="8" spans="2:9" ht="17.100000000000001" customHeight="1" x14ac:dyDescent="0.2">
      <c r="B8" s="181" t="s">
        <v>101</v>
      </c>
      <c r="C8" s="14" t="s">
        <v>1076</v>
      </c>
      <c r="D8" s="14"/>
      <c r="E8" s="14"/>
      <c r="G8" s="182">
        <f>'1'!K24</f>
        <v>52700</v>
      </c>
      <c r="H8" s="183"/>
    </row>
    <row r="9" spans="2:9" ht="17.100000000000001" customHeight="1" x14ac:dyDescent="0.2">
      <c r="B9" s="184" t="s">
        <v>102</v>
      </c>
      <c r="C9" s="15" t="s">
        <v>103</v>
      </c>
      <c r="D9" s="15"/>
      <c r="E9" s="15"/>
      <c r="G9" s="182">
        <f>'1'!K35</f>
        <v>57200</v>
      </c>
      <c r="H9" s="183"/>
    </row>
    <row r="10" spans="2:9" ht="17.100000000000001" customHeight="1" x14ac:dyDescent="0.2">
      <c r="B10" s="184" t="s">
        <v>805</v>
      </c>
      <c r="C10" s="15" t="s">
        <v>927</v>
      </c>
      <c r="D10" s="15"/>
      <c r="E10" s="15"/>
      <c r="G10" s="182">
        <f>'1'!K45+'1'!K56</f>
        <v>1150.0459008</v>
      </c>
      <c r="H10" s="183"/>
    </row>
    <row r="11" spans="2:9" ht="17.100000000000001" customHeight="1" x14ac:dyDescent="0.2">
      <c r="B11" s="184" t="s">
        <v>104</v>
      </c>
      <c r="C11" s="15" t="s">
        <v>105</v>
      </c>
      <c r="D11" s="15"/>
      <c r="E11" s="15"/>
      <c r="G11" s="182">
        <f>'1'!K67</f>
        <v>2816.89</v>
      </c>
      <c r="H11" s="183"/>
    </row>
    <row r="12" spans="2:9" ht="17.100000000000001" hidden="1" customHeight="1" x14ac:dyDescent="0.2">
      <c r="B12" s="184" t="s">
        <v>143</v>
      </c>
      <c r="C12" s="15" t="s">
        <v>144</v>
      </c>
      <c r="D12" s="15"/>
      <c r="E12" s="15"/>
      <c r="G12" s="182">
        <f>'1'!K76</f>
        <v>0</v>
      </c>
      <c r="H12" s="183"/>
    </row>
    <row r="13" spans="2:9" ht="17.100000000000001" hidden="1" customHeight="1" x14ac:dyDescent="0.2">
      <c r="B13" s="184" t="s">
        <v>106</v>
      </c>
      <c r="C13" s="15" t="s">
        <v>107</v>
      </c>
      <c r="D13" s="15"/>
      <c r="E13" s="15"/>
      <c r="G13" s="182">
        <f>'1'!K87</f>
        <v>0</v>
      </c>
      <c r="H13" s="183"/>
    </row>
    <row r="14" spans="2:9" ht="17.100000000000001" customHeight="1" x14ac:dyDescent="0.2">
      <c r="B14" s="184" t="s">
        <v>109</v>
      </c>
      <c r="C14" s="15" t="s">
        <v>108</v>
      </c>
      <c r="D14" s="15"/>
      <c r="E14" s="15"/>
      <c r="G14" s="182">
        <f>'1'!K97</f>
        <v>2154.4402319999999</v>
      </c>
      <c r="H14" s="183"/>
    </row>
    <row r="15" spans="2:9" ht="17.100000000000001" customHeight="1" x14ac:dyDescent="0.2">
      <c r="B15" s="184" t="s">
        <v>110</v>
      </c>
      <c r="C15" s="15" t="s">
        <v>960</v>
      </c>
      <c r="D15" s="15"/>
      <c r="E15" s="15"/>
      <c r="G15" s="182">
        <f>'1'!K105+'1'!K120</f>
        <v>1395.6286192000002</v>
      </c>
      <c r="H15" s="183"/>
    </row>
    <row r="16" spans="2:9" ht="17.100000000000001" customHeight="1" x14ac:dyDescent="0.2">
      <c r="B16" s="184" t="s">
        <v>112</v>
      </c>
      <c r="C16" s="15" t="s">
        <v>113</v>
      </c>
      <c r="D16" s="15"/>
      <c r="E16" s="15"/>
      <c r="G16" s="182">
        <f>'1'!K128</f>
        <v>3000</v>
      </c>
      <c r="H16" s="183"/>
    </row>
    <row r="17" spans="2:8" ht="17.100000000000001" customHeight="1" x14ac:dyDescent="0.2">
      <c r="B17" s="184" t="s">
        <v>114</v>
      </c>
      <c r="C17" s="15" t="s">
        <v>115</v>
      </c>
      <c r="D17" s="15"/>
      <c r="E17" s="15"/>
      <c r="G17" s="182">
        <f>'1'!K136</f>
        <v>5347</v>
      </c>
      <c r="H17" s="183"/>
    </row>
    <row r="18" spans="2:8" ht="5.0999999999999996" customHeight="1" x14ac:dyDescent="0.2">
      <c r="B18" s="185"/>
      <c r="C18" s="186"/>
      <c r="D18" s="186"/>
      <c r="E18" s="186"/>
      <c r="F18" s="187"/>
      <c r="G18" s="188"/>
      <c r="H18" s="189"/>
    </row>
    <row r="19" spans="2:8" ht="18.95" customHeight="1" x14ac:dyDescent="0.25">
      <c r="B19" s="190" t="s">
        <v>152</v>
      </c>
      <c r="C19" s="191" t="s">
        <v>154</v>
      </c>
      <c r="D19" s="191"/>
      <c r="E19" s="191"/>
      <c r="G19" s="158"/>
      <c r="H19" s="192">
        <f>SUM(G20:G22)</f>
        <v>17286</v>
      </c>
    </row>
    <row r="20" spans="2:8" ht="17.100000000000001" customHeight="1" x14ac:dyDescent="0.2">
      <c r="B20" s="193" t="s">
        <v>153</v>
      </c>
      <c r="C20" s="194" t="s">
        <v>1164</v>
      </c>
      <c r="D20" s="194"/>
      <c r="E20" s="194"/>
      <c r="G20" s="182">
        <f>'2'!K26</f>
        <v>15786</v>
      </c>
      <c r="H20" s="183"/>
    </row>
    <row r="21" spans="2:8" ht="17.100000000000001" hidden="1" customHeight="1" x14ac:dyDescent="0.2">
      <c r="B21" s="193" t="s">
        <v>155</v>
      </c>
      <c r="C21" s="194" t="s">
        <v>156</v>
      </c>
      <c r="D21" s="194"/>
      <c r="E21" s="194"/>
      <c r="G21" s="182">
        <f>'2'!K37</f>
        <v>0</v>
      </c>
      <c r="H21" s="183"/>
    </row>
    <row r="22" spans="2:8" ht="17.100000000000001" hidden="1" customHeight="1" x14ac:dyDescent="0.2">
      <c r="B22" s="193" t="s">
        <v>157</v>
      </c>
      <c r="C22" s="194" t="s">
        <v>1057</v>
      </c>
      <c r="D22" s="194"/>
      <c r="E22" s="194"/>
      <c r="G22" s="182">
        <f>'2'!K48</f>
        <v>1500</v>
      </c>
      <c r="H22" s="183"/>
    </row>
    <row r="23" spans="2:8" ht="5.0999999999999996" customHeight="1" x14ac:dyDescent="0.2">
      <c r="B23" s="185"/>
      <c r="C23" s="186"/>
      <c r="D23" s="186"/>
      <c r="E23" s="186"/>
      <c r="F23" s="187"/>
      <c r="G23" s="188"/>
      <c r="H23" s="189"/>
    </row>
    <row r="24" spans="2:8" ht="18.95" hidden="1" customHeight="1" x14ac:dyDescent="0.25">
      <c r="B24" s="190" t="s">
        <v>158</v>
      </c>
      <c r="C24" s="191" t="s">
        <v>4</v>
      </c>
      <c r="D24" s="191"/>
      <c r="E24" s="191"/>
      <c r="G24" s="158"/>
      <c r="H24" s="192">
        <f>SUM(G25:G29)</f>
        <v>0</v>
      </c>
    </row>
    <row r="25" spans="2:8" ht="17.100000000000001" hidden="1" customHeight="1" x14ac:dyDescent="0.2">
      <c r="B25" s="193" t="s">
        <v>159</v>
      </c>
      <c r="C25" s="194" t="s">
        <v>160</v>
      </c>
      <c r="D25" s="194"/>
      <c r="E25" s="194"/>
      <c r="G25" s="182">
        <f>'3'!K26</f>
        <v>0</v>
      </c>
      <c r="H25" s="183"/>
    </row>
    <row r="26" spans="2:8" ht="17.100000000000001" hidden="1" customHeight="1" x14ac:dyDescent="0.2">
      <c r="B26" s="193" t="s">
        <v>162</v>
      </c>
      <c r="C26" s="194" t="s">
        <v>161</v>
      </c>
      <c r="D26" s="194"/>
      <c r="E26" s="194"/>
      <c r="G26" s="182">
        <f>'3'!K37</f>
        <v>0</v>
      </c>
      <c r="H26" s="183"/>
    </row>
    <row r="27" spans="2:8" ht="17.100000000000001" hidden="1" customHeight="1" x14ac:dyDescent="0.2">
      <c r="B27" s="193" t="s">
        <v>163</v>
      </c>
      <c r="C27" s="194" t="s">
        <v>167</v>
      </c>
      <c r="D27" s="194"/>
      <c r="E27" s="194"/>
      <c r="G27" s="182">
        <f>'3'!K46+'3'!K55</f>
        <v>0</v>
      </c>
      <c r="H27" s="183"/>
    </row>
    <row r="28" spans="2:8" ht="17.100000000000001" hidden="1" customHeight="1" x14ac:dyDescent="0.2">
      <c r="B28" s="193" t="s">
        <v>165</v>
      </c>
      <c r="C28" s="194" t="s">
        <v>169</v>
      </c>
      <c r="D28" s="194"/>
      <c r="E28" s="194"/>
      <c r="G28" s="182">
        <f>'3'!K66</f>
        <v>0</v>
      </c>
      <c r="H28" s="183"/>
    </row>
    <row r="29" spans="2:8" ht="17.100000000000001" hidden="1" customHeight="1" x14ac:dyDescent="0.2">
      <c r="B29" s="193" t="s">
        <v>166</v>
      </c>
      <c r="C29" s="194" t="s">
        <v>170</v>
      </c>
      <c r="D29" s="194"/>
      <c r="E29" s="194"/>
      <c r="G29" s="182">
        <f>'3'!K75</f>
        <v>0</v>
      </c>
      <c r="H29" s="183"/>
    </row>
    <row r="30" spans="2:8" ht="5.0999999999999996" hidden="1" customHeight="1" x14ac:dyDescent="0.2">
      <c r="B30" s="185"/>
      <c r="C30" s="186"/>
      <c r="D30" s="186"/>
      <c r="E30" s="186"/>
      <c r="F30" s="187"/>
      <c r="G30" s="188"/>
      <c r="H30" s="189"/>
    </row>
    <row r="31" spans="2:8" ht="17.100000000000001" hidden="1" customHeight="1" x14ac:dyDescent="0.25">
      <c r="B31" s="190" t="s">
        <v>171</v>
      </c>
      <c r="C31" s="191" t="s">
        <v>5</v>
      </c>
      <c r="D31" s="191"/>
      <c r="E31" s="191"/>
      <c r="G31" s="158"/>
      <c r="H31" s="192">
        <f>SUM(G32:G33)</f>
        <v>0</v>
      </c>
    </row>
    <row r="32" spans="2:8" ht="17.100000000000001" hidden="1" customHeight="1" x14ac:dyDescent="0.2">
      <c r="B32" s="193" t="s">
        <v>172</v>
      </c>
      <c r="C32" s="194" t="s">
        <v>174</v>
      </c>
      <c r="D32" s="194"/>
      <c r="E32" s="194"/>
      <c r="G32" s="182">
        <f>'4'!K26</f>
        <v>0</v>
      </c>
      <c r="H32" s="183"/>
    </row>
    <row r="33" spans="2:8" ht="17.100000000000001" hidden="1" customHeight="1" x14ac:dyDescent="0.2">
      <c r="B33" s="193" t="s">
        <v>686</v>
      </c>
      <c r="C33" s="194" t="s">
        <v>687</v>
      </c>
      <c r="D33" s="194"/>
      <c r="E33" s="194"/>
      <c r="G33" s="182">
        <f>'4'!K37</f>
        <v>0</v>
      </c>
      <c r="H33" s="183"/>
    </row>
    <row r="34" spans="2:8" ht="5.0999999999999996" hidden="1" customHeight="1" x14ac:dyDescent="0.2">
      <c r="B34" s="185"/>
      <c r="C34" s="186"/>
      <c r="D34" s="186"/>
      <c r="E34" s="186"/>
      <c r="F34" s="187"/>
      <c r="G34" s="188"/>
      <c r="H34" s="189"/>
    </row>
    <row r="35" spans="2:8" ht="18.95" hidden="1" customHeight="1" x14ac:dyDescent="0.25">
      <c r="B35" s="190" t="s">
        <v>177</v>
      </c>
      <c r="C35" s="191" t="s">
        <v>6</v>
      </c>
      <c r="D35" s="191"/>
      <c r="E35" s="191"/>
      <c r="G35" s="158"/>
      <c r="H35" s="192">
        <f>SUM(G36:G39)</f>
        <v>0</v>
      </c>
    </row>
    <row r="36" spans="2:8" ht="17.100000000000001" hidden="1" customHeight="1" x14ac:dyDescent="0.2">
      <c r="B36" s="195" t="s">
        <v>178</v>
      </c>
      <c r="C36" s="194" t="s">
        <v>184</v>
      </c>
      <c r="D36" s="194"/>
      <c r="E36" s="194"/>
      <c r="G36" s="182">
        <f>'5'!K26</f>
        <v>0</v>
      </c>
      <c r="H36" s="183"/>
    </row>
    <row r="37" spans="2:8" ht="17.100000000000001" hidden="1" customHeight="1" x14ac:dyDescent="0.2">
      <c r="B37" s="195" t="s">
        <v>179</v>
      </c>
      <c r="C37" s="194" t="s">
        <v>185</v>
      </c>
      <c r="D37" s="194"/>
      <c r="E37" s="194"/>
      <c r="G37" s="182">
        <f>'5'!K37</f>
        <v>0</v>
      </c>
      <c r="H37" s="183"/>
    </row>
    <row r="38" spans="2:8" ht="17.100000000000001" hidden="1" customHeight="1" x14ac:dyDescent="0.2">
      <c r="B38" s="195" t="s">
        <v>180</v>
      </c>
      <c r="C38" s="194" t="s">
        <v>186</v>
      </c>
      <c r="D38" s="194"/>
      <c r="E38" s="194"/>
      <c r="G38" s="182">
        <f>'5'!K45</f>
        <v>0</v>
      </c>
      <c r="H38" s="183"/>
    </row>
    <row r="39" spans="2:8" ht="17.100000000000001" hidden="1" customHeight="1" x14ac:dyDescent="0.2">
      <c r="B39" s="195" t="s">
        <v>688</v>
      </c>
      <c r="C39" s="194" t="s">
        <v>689</v>
      </c>
      <c r="D39" s="194"/>
      <c r="E39" s="194"/>
      <c r="G39" s="182">
        <f>'5'!K54+'5'!K65+'5'!K74</f>
        <v>0</v>
      </c>
      <c r="H39" s="183"/>
    </row>
    <row r="40" spans="2:8" ht="5.0999999999999996" hidden="1" customHeight="1" x14ac:dyDescent="0.2">
      <c r="B40" s="185"/>
      <c r="C40" s="186"/>
      <c r="D40" s="186"/>
      <c r="E40" s="186"/>
      <c r="F40" s="187"/>
      <c r="G40" s="188"/>
      <c r="H40" s="189"/>
    </row>
    <row r="41" spans="2:8" ht="18.95" customHeight="1" x14ac:dyDescent="0.25">
      <c r="B41" s="190" t="s">
        <v>190</v>
      </c>
      <c r="C41" s="191" t="s">
        <v>191</v>
      </c>
      <c r="D41" s="191"/>
      <c r="E41" s="191"/>
      <c r="G41" s="158"/>
      <c r="H41" s="192">
        <f>SUM(G42:G45)</f>
        <v>184170.8</v>
      </c>
    </row>
    <row r="42" spans="2:8" ht="17.100000000000001" customHeight="1" x14ac:dyDescent="0.2">
      <c r="B42" s="195" t="s">
        <v>723</v>
      </c>
      <c r="C42" s="196" t="s">
        <v>1169</v>
      </c>
      <c r="D42" s="196"/>
      <c r="E42" s="196"/>
      <c r="G42" s="182">
        <f>'6'!K19</f>
        <v>1300</v>
      </c>
      <c r="H42" s="183"/>
    </row>
    <row r="43" spans="2:8" ht="17.100000000000001" customHeight="1" x14ac:dyDescent="0.2">
      <c r="B43" s="195" t="s">
        <v>723</v>
      </c>
      <c r="C43" s="196" t="s">
        <v>1170</v>
      </c>
      <c r="D43" s="196"/>
      <c r="E43" s="196"/>
      <c r="G43" s="182">
        <f>'6'!K36</f>
        <v>1995.8000000000002</v>
      </c>
      <c r="H43" s="183"/>
    </row>
    <row r="44" spans="2:8" ht="17.100000000000001" customHeight="1" x14ac:dyDescent="0.2">
      <c r="B44" s="195" t="s">
        <v>193</v>
      </c>
      <c r="C44" s="196" t="s">
        <v>47</v>
      </c>
      <c r="D44" s="196"/>
      <c r="E44" s="196"/>
      <c r="G44" s="182">
        <f>'6'!K51</f>
        <v>180875</v>
      </c>
      <c r="H44" s="183"/>
    </row>
    <row r="45" spans="2:8" ht="17.100000000000001" hidden="1" customHeight="1" x14ac:dyDescent="0.2">
      <c r="B45" s="195" t="s">
        <v>690</v>
      </c>
      <c r="C45" s="196" t="s">
        <v>691</v>
      </c>
      <c r="D45" s="196"/>
      <c r="E45" s="196"/>
      <c r="G45" s="182">
        <f>'6'!K59+'6'!K68+'6'!K79+'6'!K88+'6'!K95</f>
        <v>0</v>
      </c>
      <c r="H45" s="183"/>
    </row>
    <row r="46" spans="2:8" ht="5.0999999999999996" customHeight="1" x14ac:dyDescent="0.2">
      <c r="B46" s="185"/>
      <c r="C46" s="186"/>
      <c r="D46" s="186"/>
      <c r="E46" s="186"/>
      <c r="F46" s="187"/>
      <c r="G46" s="188"/>
      <c r="H46" s="189"/>
    </row>
    <row r="47" spans="2:8" ht="18.95" customHeight="1" x14ac:dyDescent="0.25">
      <c r="B47" s="190" t="s">
        <v>204</v>
      </c>
      <c r="C47" s="191" t="s">
        <v>56</v>
      </c>
      <c r="D47" s="191"/>
      <c r="E47" s="191"/>
      <c r="G47" s="158"/>
      <c r="H47" s="192">
        <f>SUM(G48:G57)</f>
        <v>8446</v>
      </c>
    </row>
    <row r="48" spans="2:8" ht="17.100000000000001" hidden="1" customHeight="1" x14ac:dyDescent="0.2">
      <c r="B48" s="195" t="s">
        <v>205</v>
      </c>
      <c r="C48" s="196" t="s">
        <v>206</v>
      </c>
      <c r="D48" s="196"/>
      <c r="E48" s="196"/>
      <c r="G48" s="182">
        <f>'7'!K16</f>
        <v>0</v>
      </c>
      <c r="H48" s="183"/>
    </row>
    <row r="49" spans="2:8" ht="17.100000000000001" hidden="1" customHeight="1" x14ac:dyDescent="0.2">
      <c r="B49" s="195" t="s">
        <v>213</v>
      </c>
      <c r="C49" s="196" t="s">
        <v>214</v>
      </c>
      <c r="D49" s="196"/>
      <c r="E49" s="196"/>
      <c r="G49" s="182">
        <f>'7'!K22</f>
        <v>0</v>
      </c>
      <c r="H49" s="183"/>
    </row>
    <row r="50" spans="2:8" ht="17.100000000000001" hidden="1" customHeight="1" x14ac:dyDescent="0.2">
      <c r="B50" s="195" t="s">
        <v>215</v>
      </c>
      <c r="C50" s="196" t="s">
        <v>216</v>
      </c>
      <c r="D50" s="196"/>
      <c r="E50" s="196"/>
      <c r="G50" s="182">
        <f>'7'!K27</f>
        <v>0</v>
      </c>
      <c r="H50" s="183"/>
    </row>
    <row r="51" spans="2:8" ht="17.100000000000001" hidden="1" customHeight="1" x14ac:dyDescent="0.2">
      <c r="B51" s="195" t="s">
        <v>217</v>
      </c>
      <c r="C51" s="196" t="s">
        <v>218</v>
      </c>
      <c r="D51" s="196"/>
      <c r="E51" s="196"/>
      <c r="G51" s="182">
        <f>'7'!K33</f>
        <v>0</v>
      </c>
      <c r="H51" s="183"/>
    </row>
    <row r="52" spans="2:8" ht="17.100000000000001" hidden="1" customHeight="1" x14ac:dyDescent="0.2">
      <c r="B52" s="195" t="s">
        <v>219</v>
      </c>
      <c r="C52" s="196" t="s">
        <v>57</v>
      </c>
      <c r="D52" s="196"/>
      <c r="E52" s="196"/>
      <c r="G52" s="182">
        <f>'7'!K39</f>
        <v>0</v>
      </c>
      <c r="H52" s="183"/>
    </row>
    <row r="53" spans="2:8" ht="17.100000000000001" hidden="1" customHeight="1" x14ac:dyDescent="0.2">
      <c r="B53" s="195" t="s">
        <v>692</v>
      </c>
      <c r="C53" s="196" t="s">
        <v>58</v>
      </c>
      <c r="D53" s="196"/>
      <c r="E53" s="196"/>
      <c r="G53" s="182">
        <f>'7'!K45+'7'!K50</f>
        <v>0</v>
      </c>
      <c r="H53" s="183"/>
    </row>
    <row r="54" spans="2:8" ht="17.100000000000001" hidden="1" customHeight="1" x14ac:dyDescent="0.2">
      <c r="B54" s="195" t="s">
        <v>694</v>
      </c>
      <c r="C54" s="196" t="s">
        <v>693</v>
      </c>
      <c r="D54" s="196"/>
      <c r="E54" s="196"/>
      <c r="G54" s="182">
        <f>'7'!K55+'7'!K60+'7'!K66</f>
        <v>0</v>
      </c>
      <c r="H54" s="183"/>
    </row>
    <row r="55" spans="2:8" ht="17.100000000000001" hidden="1" customHeight="1" x14ac:dyDescent="0.2">
      <c r="B55" s="195" t="s">
        <v>230</v>
      </c>
      <c r="C55" s="196" t="s">
        <v>231</v>
      </c>
      <c r="D55" s="196"/>
      <c r="E55" s="196"/>
      <c r="G55" s="182">
        <f>'7'!K72</f>
        <v>0</v>
      </c>
      <c r="H55" s="183"/>
    </row>
    <row r="56" spans="2:8" ht="17.100000000000001" customHeight="1" x14ac:dyDescent="0.2">
      <c r="B56" s="195" t="s">
        <v>695</v>
      </c>
      <c r="C56" s="196" t="s">
        <v>696</v>
      </c>
      <c r="D56" s="196"/>
      <c r="E56" s="196"/>
      <c r="G56" s="182">
        <f>'7'!K78</f>
        <v>8446</v>
      </c>
      <c r="H56" s="183"/>
    </row>
    <row r="57" spans="2:8" ht="17.100000000000001" hidden="1" customHeight="1" x14ac:dyDescent="0.2">
      <c r="B57" s="195" t="s">
        <v>240</v>
      </c>
      <c r="C57" s="196" t="s">
        <v>241</v>
      </c>
      <c r="D57" s="196"/>
      <c r="E57" s="196"/>
      <c r="G57" s="182">
        <f>'7'!K84</f>
        <v>0</v>
      </c>
      <c r="H57" s="183"/>
    </row>
    <row r="58" spans="2:8" ht="5.0999999999999996" customHeight="1" x14ac:dyDescent="0.2">
      <c r="B58" s="185"/>
      <c r="C58" s="186"/>
      <c r="D58" s="186"/>
      <c r="E58" s="186"/>
      <c r="F58" s="187"/>
      <c r="G58" s="188"/>
      <c r="H58" s="189"/>
    </row>
    <row r="59" spans="2:8" ht="18.95" customHeight="1" x14ac:dyDescent="0.25">
      <c r="B59" s="190" t="s">
        <v>242</v>
      </c>
      <c r="C59" s="191" t="s">
        <v>243</v>
      </c>
      <c r="D59" s="191"/>
      <c r="E59" s="191"/>
      <c r="G59" s="158"/>
      <c r="H59" s="192">
        <f>SUM(G60:G66)</f>
        <v>22710</v>
      </c>
    </row>
    <row r="60" spans="2:8" ht="17.100000000000001" customHeight="1" x14ac:dyDescent="0.2">
      <c r="B60" s="195" t="s">
        <v>697</v>
      </c>
      <c r="C60" s="196" t="s">
        <v>698</v>
      </c>
      <c r="D60" s="196"/>
      <c r="E60" s="196"/>
      <c r="G60" s="182">
        <f>'8'!K18+'8'!K24</f>
        <v>20485</v>
      </c>
      <c r="H60" s="183"/>
    </row>
    <row r="61" spans="2:8" ht="17.100000000000001" hidden="1" customHeight="1" x14ac:dyDescent="0.2">
      <c r="B61" s="195" t="s">
        <v>699</v>
      </c>
      <c r="C61" s="196" t="s">
        <v>700</v>
      </c>
      <c r="D61" s="196"/>
      <c r="E61" s="196"/>
      <c r="G61" s="182">
        <f>'8'!K29+'8'!K35+'8'!K41+'8'!K47+'8'!K52</f>
        <v>0</v>
      </c>
      <c r="H61" s="183"/>
    </row>
    <row r="62" spans="2:8" ht="17.100000000000001" hidden="1" customHeight="1" x14ac:dyDescent="0.2">
      <c r="B62" s="195" t="s">
        <v>701</v>
      </c>
      <c r="C62" s="196" t="s">
        <v>702</v>
      </c>
      <c r="D62" s="196"/>
      <c r="E62" s="196"/>
      <c r="G62" s="182">
        <f>'8'!K57+'8'!K62</f>
        <v>0</v>
      </c>
      <c r="H62" s="183"/>
    </row>
    <row r="63" spans="2:8" ht="17.100000000000001" hidden="1" customHeight="1" x14ac:dyDescent="0.2">
      <c r="B63" s="195" t="s">
        <v>262</v>
      </c>
      <c r="C63" s="196" t="s">
        <v>93</v>
      </c>
      <c r="D63" s="196"/>
      <c r="E63" s="196"/>
      <c r="G63" s="182">
        <f>'8'!K69</f>
        <v>0</v>
      </c>
      <c r="H63" s="183"/>
    </row>
    <row r="64" spans="2:8" ht="17.100000000000001" hidden="1" customHeight="1" x14ac:dyDescent="0.2">
      <c r="B64" s="195" t="s">
        <v>270</v>
      </c>
      <c r="C64" s="196" t="s">
        <v>705</v>
      </c>
      <c r="D64" s="196"/>
      <c r="E64" s="196"/>
      <c r="G64" s="182">
        <f>'8'!K75</f>
        <v>0</v>
      </c>
      <c r="H64" s="183"/>
    </row>
    <row r="65" spans="2:8" ht="17.100000000000001" customHeight="1" x14ac:dyDescent="0.2">
      <c r="B65" s="195" t="s">
        <v>703</v>
      </c>
      <c r="C65" s="196" t="s">
        <v>1171</v>
      </c>
      <c r="D65" s="196"/>
      <c r="E65" s="196"/>
      <c r="G65" s="182">
        <f>'8'!K81+'8'!K87+'8'!K93</f>
        <v>2225</v>
      </c>
      <c r="H65" s="183"/>
    </row>
    <row r="66" spans="2:8" ht="17.100000000000001" hidden="1" customHeight="1" thickBot="1" x14ac:dyDescent="0.25">
      <c r="B66" s="195" t="s">
        <v>704</v>
      </c>
      <c r="C66" s="196" t="s">
        <v>278</v>
      </c>
      <c r="D66" s="196"/>
      <c r="E66" s="196"/>
      <c r="G66" s="182">
        <f>'8'!K99</f>
        <v>0</v>
      </c>
      <c r="H66" s="183"/>
    </row>
    <row r="67" spans="2:8" ht="5.0999999999999996" customHeight="1" x14ac:dyDescent="0.2">
      <c r="B67" s="876"/>
      <c r="C67" s="877"/>
      <c r="D67" s="877"/>
      <c r="E67" s="877"/>
      <c r="F67" s="878"/>
      <c r="G67" s="879"/>
      <c r="H67" s="880"/>
    </row>
    <row r="68" spans="2:8" ht="18.95" customHeight="1" x14ac:dyDescent="0.25">
      <c r="B68" s="190" t="s">
        <v>279</v>
      </c>
      <c r="C68" s="191" t="s">
        <v>8</v>
      </c>
      <c r="D68" s="191"/>
      <c r="E68" s="191"/>
      <c r="G68" s="158"/>
      <c r="H68" s="192">
        <f>SUM(G69:G74)</f>
        <v>100111.44</v>
      </c>
    </row>
    <row r="69" spans="2:8" ht="17.100000000000001" customHeight="1" x14ac:dyDescent="0.2">
      <c r="B69" s="195" t="s">
        <v>280</v>
      </c>
      <c r="C69" s="196" t="s">
        <v>1165</v>
      </c>
      <c r="D69" s="196"/>
      <c r="E69" s="196"/>
      <c r="G69" s="182">
        <f>'9'!K18</f>
        <v>61750</v>
      </c>
      <c r="H69" s="183"/>
    </row>
    <row r="70" spans="2:8" ht="17.100000000000001" hidden="1" customHeight="1" x14ac:dyDescent="0.2">
      <c r="B70" s="195" t="s">
        <v>282</v>
      </c>
      <c r="C70" s="196" t="s">
        <v>283</v>
      </c>
      <c r="D70" s="196"/>
      <c r="E70" s="196"/>
      <c r="G70" s="182">
        <f>'9'!K26</f>
        <v>0</v>
      </c>
      <c r="H70" s="183"/>
    </row>
    <row r="71" spans="2:8" ht="17.100000000000001" hidden="1" customHeight="1" x14ac:dyDescent="0.2">
      <c r="B71" s="195" t="s">
        <v>284</v>
      </c>
      <c r="C71" s="196" t="s">
        <v>285</v>
      </c>
      <c r="D71" s="196"/>
      <c r="E71" s="196"/>
      <c r="G71" s="182">
        <f>'9'!K32</f>
        <v>0</v>
      </c>
      <c r="H71" s="183"/>
    </row>
    <row r="72" spans="2:8" ht="17.100000000000001" customHeight="1" x14ac:dyDescent="0.2">
      <c r="B72" s="195" t="s">
        <v>286</v>
      </c>
      <c r="C72" s="196" t="s">
        <v>78</v>
      </c>
      <c r="D72" s="196"/>
      <c r="E72" s="196"/>
      <c r="G72" s="182">
        <f>'9'!K47</f>
        <v>26169</v>
      </c>
      <c r="H72" s="183"/>
    </row>
    <row r="73" spans="2:8" ht="17.100000000000001" hidden="1" customHeight="1" x14ac:dyDescent="0.2">
      <c r="B73" s="195" t="s">
        <v>706</v>
      </c>
      <c r="C73" s="196" t="s">
        <v>707</v>
      </c>
      <c r="D73" s="196"/>
      <c r="E73" s="196"/>
      <c r="G73" s="182">
        <f>'9'!K53</f>
        <v>0</v>
      </c>
      <c r="H73" s="183"/>
    </row>
    <row r="74" spans="2:8" ht="17.100000000000001" customHeight="1" x14ac:dyDescent="0.2">
      <c r="B74" s="195" t="s">
        <v>708</v>
      </c>
      <c r="C74" s="196" t="s">
        <v>79</v>
      </c>
      <c r="D74" s="196"/>
      <c r="E74" s="196"/>
      <c r="G74" s="182">
        <f>'9'!K62</f>
        <v>12192.44</v>
      </c>
      <c r="H74" s="183"/>
    </row>
    <row r="75" spans="2:8" ht="5.0999999999999996" customHeight="1" x14ac:dyDescent="0.2">
      <c r="B75" s="185"/>
      <c r="C75" s="186"/>
      <c r="D75" s="186"/>
      <c r="E75" s="186"/>
      <c r="F75" s="187"/>
      <c r="G75" s="188"/>
      <c r="H75" s="189"/>
    </row>
    <row r="76" spans="2:8" ht="18.95" customHeight="1" x14ac:dyDescent="0.25">
      <c r="B76" s="190" t="s">
        <v>298</v>
      </c>
      <c r="C76" s="191" t="s">
        <v>9</v>
      </c>
      <c r="D76" s="191"/>
      <c r="E76" s="191"/>
      <c r="G76" s="158"/>
      <c r="H76" s="192">
        <f>SUM(G77:G82)</f>
        <v>11690</v>
      </c>
    </row>
    <row r="77" spans="2:8" ht="17.100000000000001" hidden="1" customHeight="1" x14ac:dyDescent="0.2">
      <c r="B77" s="195" t="s">
        <v>299</v>
      </c>
      <c r="C77" s="196" t="s">
        <v>300</v>
      </c>
      <c r="D77" s="196"/>
      <c r="E77" s="196"/>
      <c r="G77" s="182">
        <f>'10'!K17</f>
        <v>0</v>
      </c>
      <c r="H77" s="183"/>
    </row>
    <row r="78" spans="2:8" ht="17.100000000000001" hidden="1" customHeight="1" x14ac:dyDescent="0.2">
      <c r="B78" s="195" t="s">
        <v>301</v>
      </c>
      <c r="C78" s="196" t="s">
        <v>302</v>
      </c>
      <c r="D78" s="196"/>
      <c r="E78" s="196"/>
      <c r="G78" s="182">
        <f>'10'!K25</f>
        <v>0</v>
      </c>
      <c r="H78" s="183"/>
    </row>
    <row r="79" spans="2:8" ht="17.100000000000001" customHeight="1" x14ac:dyDescent="0.2">
      <c r="B79" s="195" t="s">
        <v>303</v>
      </c>
      <c r="C79" s="196" t="s">
        <v>304</v>
      </c>
      <c r="D79" s="196"/>
      <c r="E79" s="196"/>
      <c r="G79" s="182">
        <f>'10'!K38</f>
        <v>11690</v>
      </c>
      <c r="H79" s="183"/>
    </row>
    <row r="80" spans="2:8" ht="17.100000000000001" hidden="1" customHeight="1" x14ac:dyDescent="0.2">
      <c r="B80" s="195" t="s">
        <v>710</v>
      </c>
      <c r="C80" s="196" t="s">
        <v>709</v>
      </c>
      <c r="D80" s="196"/>
      <c r="E80" s="196"/>
      <c r="G80" s="182">
        <f>'10'!K44</f>
        <v>0</v>
      </c>
      <c r="H80" s="183"/>
    </row>
    <row r="81" spans="2:8" ht="17.100000000000001" hidden="1" customHeight="1" x14ac:dyDescent="0.2">
      <c r="B81" s="195" t="s">
        <v>711</v>
      </c>
      <c r="C81" s="196" t="s">
        <v>712</v>
      </c>
      <c r="D81" s="196"/>
      <c r="E81" s="196"/>
      <c r="G81" s="182">
        <f>'10'!K51</f>
        <v>0</v>
      </c>
      <c r="H81" s="183"/>
    </row>
    <row r="82" spans="2:8" ht="17.100000000000001" hidden="1" customHeight="1" thickBot="1" x14ac:dyDescent="0.25">
      <c r="B82" s="197" t="s">
        <v>318</v>
      </c>
      <c r="C82" s="198" t="s">
        <v>319</v>
      </c>
      <c r="D82" s="198"/>
      <c r="E82" s="198"/>
      <c r="F82" s="156"/>
      <c r="G82" s="199">
        <f>'10'!K63</f>
        <v>0</v>
      </c>
      <c r="H82" s="200"/>
    </row>
    <row r="83" spans="2:8" ht="6.95" hidden="1" customHeight="1" thickBot="1" x14ac:dyDescent="0.25">
      <c r="B83" s="202"/>
      <c r="C83" s="203"/>
      <c r="D83" s="203"/>
      <c r="E83" s="203"/>
      <c r="F83" s="204"/>
      <c r="G83" s="205"/>
      <c r="H83" s="206"/>
    </row>
    <row r="84" spans="2:8" ht="18.95" hidden="1" customHeight="1" x14ac:dyDescent="0.25">
      <c r="B84" s="176" t="s">
        <v>326</v>
      </c>
      <c r="C84" s="177" t="s">
        <v>69</v>
      </c>
      <c r="D84" s="177"/>
      <c r="E84" s="177"/>
      <c r="F84" s="178"/>
      <c r="G84" s="179"/>
      <c r="H84" s="180">
        <f>SUM(G85:G88)</f>
        <v>0</v>
      </c>
    </row>
    <row r="85" spans="2:8" ht="17.100000000000001" hidden="1" customHeight="1" x14ac:dyDescent="0.2">
      <c r="B85" s="195" t="s">
        <v>714</v>
      </c>
      <c r="C85" s="196" t="s">
        <v>713</v>
      </c>
      <c r="D85" s="196"/>
      <c r="E85" s="196"/>
      <c r="G85" s="182">
        <f>'11'!K24+'11'!K35</f>
        <v>0</v>
      </c>
      <c r="H85" s="183"/>
    </row>
    <row r="86" spans="2:8" ht="17.100000000000001" hidden="1" customHeight="1" x14ac:dyDescent="0.2">
      <c r="B86" s="195" t="s">
        <v>331</v>
      </c>
      <c r="C86" s="196" t="s">
        <v>332</v>
      </c>
      <c r="D86" s="196"/>
      <c r="E86" s="196"/>
      <c r="G86" s="182">
        <f>'11'!K43</f>
        <v>0</v>
      </c>
      <c r="H86" s="183"/>
    </row>
    <row r="87" spans="2:8" ht="17.100000000000001" hidden="1" customHeight="1" x14ac:dyDescent="0.2">
      <c r="B87" s="195" t="s">
        <v>715</v>
      </c>
      <c r="C87" s="196" t="s">
        <v>70</v>
      </c>
      <c r="D87" s="196"/>
      <c r="E87" s="196"/>
      <c r="G87" s="182">
        <f>'11'!K52+'11'!K63</f>
        <v>0</v>
      </c>
      <c r="H87" s="183"/>
    </row>
    <row r="88" spans="2:8" ht="17.100000000000001" hidden="1" customHeight="1" x14ac:dyDescent="0.2">
      <c r="B88" s="195" t="s">
        <v>716</v>
      </c>
      <c r="C88" s="196" t="s">
        <v>717</v>
      </c>
      <c r="D88" s="196"/>
      <c r="E88" s="196"/>
      <c r="G88" s="182">
        <f>'11'!K72+'11'!K79</f>
        <v>0</v>
      </c>
      <c r="H88" s="183"/>
    </row>
    <row r="89" spans="2:8" ht="5.0999999999999996" hidden="1" customHeight="1" x14ac:dyDescent="0.2">
      <c r="B89" s="185"/>
      <c r="C89" s="186"/>
      <c r="D89" s="186"/>
      <c r="E89" s="186"/>
      <c r="F89" s="187"/>
      <c r="G89" s="188"/>
      <c r="H89" s="189"/>
    </row>
    <row r="90" spans="2:8" ht="18.95" hidden="1" customHeight="1" x14ac:dyDescent="0.25">
      <c r="B90" s="190" t="s">
        <v>347</v>
      </c>
      <c r="C90" s="191" t="s">
        <v>74</v>
      </c>
      <c r="D90" s="191"/>
      <c r="E90" s="191"/>
      <c r="G90" s="158"/>
      <c r="H90" s="192">
        <f>SUM(G91:G92)</f>
        <v>0</v>
      </c>
    </row>
    <row r="91" spans="2:8" ht="17.100000000000001" hidden="1" customHeight="1" x14ac:dyDescent="0.2">
      <c r="B91" s="195" t="s">
        <v>348</v>
      </c>
      <c r="C91" s="196" t="s">
        <v>349</v>
      </c>
      <c r="D91" s="196"/>
      <c r="E91" s="196"/>
      <c r="G91" s="182">
        <f>'12'!K24+'12'!K35</f>
        <v>0</v>
      </c>
      <c r="H91" s="183"/>
    </row>
    <row r="92" spans="2:8" ht="17.100000000000001" hidden="1" customHeight="1" x14ac:dyDescent="0.2">
      <c r="B92" s="195" t="s">
        <v>352</v>
      </c>
      <c r="C92" s="196" t="s">
        <v>353</v>
      </c>
      <c r="D92" s="196"/>
      <c r="E92" s="196"/>
      <c r="G92" s="182">
        <f>'12'!K43+'12'!K52+'12'!K63+'12'!K72</f>
        <v>0</v>
      </c>
      <c r="H92" s="183"/>
    </row>
    <row r="93" spans="2:8" ht="5.0999999999999996" customHeight="1" x14ac:dyDescent="0.2">
      <c r="B93" s="185"/>
      <c r="C93" s="186"/>
      <c r="D93" s="186"/>
      <c r="E93" s="186"/>
      <c r="F93" s="187"/>
      <c r="G93" s="188"/>
      <c r="H93" s="189"/>
    </row>
    <row r="94" spans="2:8" ht="18.95" hidden="1" customHeight="1" x14ac:dyDescent="0.25">
      <c r="B94" s="190" t="s">
        <v>360</v>
      </c>
      <c r="C94" s="191" t="s">
        <v>75</v>
      </c>
      <c r="D94" s="191"/>
      <c r="E94" s="191"/>
      <c r="G94" s="158"/>
      <c r="H94" s="192">
        <f>'Estimate Summary'!H39</f>
        <v>0</v>
      </c>
    </row>
    <row r="95" spans="2:8" ht="5.0999999999999996" hidden="1" customHeight="1" x14ac:dyDescent="0.2">
      <c r="B95" s="185"/>
      <c r="C95" s="186"/>
      <c r="D95" s="186"/>
      <c r="E95" s="186"/>
      <c r="F95" s="187"/>
      <c r="G95" s="188"/>
      <c r="H95" s="189"/>
    </row>
    <row r="96" spans="2:8" ht="18.95" hidden="1" customHeight="1" x14ac:dyDescent="0.25">
      <c r="B96" s="190" t="s">
        <v>361</v>
      </c>
      <c r="C96" s="191" t="s">
        <v>362</v>
      </c>
      <c r="D96" s="191"/>
      <c r="E96" s="191"/>
      <c r="G96" s="158"/>
      <c r="H96" s="192">
        <f>SUM(G97:G98)</f>
        <v>0</v>
      </c>
    </row>
    <row r="97" spans="2:8" ht="17.100000000000001" hidden="1" customHeight="1" x14ac:dyDescent="0.2">
      <c r="B97" s="195" t="s">
        <v>363</v>
      </c>
      <c r="C97" s="196" t="s">
        <v>67</v>
      </c>
      <c r="D97" s="196"/>
      <c r="E97" s="196"/>
      <c r="G97" s="182">
        <f>'14'!K24</f>
        <v>0</v>
      </c>
      <c r="H97" s="183"/>
    </row>
    <row r="98" spans="2:8" ht="17.100000000000001" hidden="1" customHeight="1" x14ac:dyDescent="0.2">
      <c r="B98" s="195" t="s">
        <v>364</v>
      </c>
      <c r="C98" s="196" t="s">
        <v>68</v>
      </c>
      <c r="D98" s="196"/>
      <c r="E98" s="196"/>
      <c r="G98" s="182">
        <f>'14'!K35+'14'!K43</f>
        <v>0</v>
      </c>
      <c r="H98" s="183"/>
    </row>
    <row r="99" spans="2:8" ht="5.0999999999999996" hidden="1" customHeight="1" x14ac:dyDescent="0.2">
      <c r="B99" s="185"/>
      <c r="C99" s="186"/>
      <c r="D99" s="186"/>
      <c r="E99" s="186"/>
      <c r="F99" s="187"/>
      <c r="G99" s="188"/>
      <c r="H99" s="189"/>
    </row>
    <row r="100" spans="2:8" ht="18.95" customHeight="1" x14ac:dyDescent="0.25">
      <c r="B100" s="190" t="s">
        <v>367</v>
      </c>
      <c r="C100" s="191" t="s">
        <v>150</v>
      </c>
      <c r="D100" s="191"/>
      <c r="E100" s="191"/>
      <c r="G100" s="158"/>
      <c r="H100" s="192">
        <f>G101</f>
        <v>6938</v>
      </c>
    </row>
    <row r="101" spans="2:8" ht="17.100000000000001" customHeight="1" x14ac:dyDescent="0.2">
      <c r="B101" s="195" t="s">
        <v>368</v>
      </c>
      <c r="C101" s="196" t="s">
        <v>369</v>
      </c>
      <c r="D101" s="196"/>
      <c r="E101" s="196"/>
      <c r="G101" s="182">
        <f>'21'!K24</f>
        <v>6938</v>
      </c>
      <c r="H101" s="183"/>
    </row>
    <row r="102" spans="2:8" ht="5.0999999999999996" customHeight="1" x14ac:dyDescent="0.2">
      <c r="B102" s="185"/>
      <c r="C102" s="186"/>
      <c r="D102" s="186"/>
      <c r="E102" s="186"/>
      <c r="F102" s="187"/>
      <c r="G102" s="188"/>
      <c r="H102" s="189"/>
    </row>
    <row r="103" spans="2:8" ht="18.95" customHeight="1" x14ac:dyDescent="0.25">
      <c r="B103" s="190" t="s">
        <v>370</v>
      </c>
      <c r="C103" s="191" t="s">
        <v>41</v>
      </c>
      <c r="D103" s="191"/>
      <c r="E103" s="191"/>
      <c r="G103" s="158"/>
      <c r="H103" s="192">
        <f>SUM(G104:G106)</f>
        <v>129800</v>
      </c>
    </row>
    <row r="104" spans="2:8" ht="17.100000000000001" customHeight="1" x14ac:dyDescent="0.2">
      <c r="B104" s="195" t="s">
        <v>371</v>
      </c>
      <c r="C104" s="196" t="s">
        <v>1066</v>
      </c>
      <c r="D104" s="196"/>
      <c r="E104" s="196"/>
      <c r="G104" s="182">
        <f>'22'!K24</f>
        <v>129800</v>
      </c>
      <c r="H104" s="183"/>
    </row>
    <row r="105" spans="2:8" ht="17.100000000000001" hidden="1" customHeight="1" x14ac:dyDescent="0.2">
      <c r="B105" s="195" t="s">
        <v>373</v>
      </c>
      <c r="C105" s="196" t="s">
        <v>374</v>
      </c>
      <c r="D105" s="196"/>
      <c r="E105" s="196"/>
      <c r="G105" s="182">
        <f>'22'!K35</f>
        <v>0</v>
      </c>
      <c r="H105" s="183"/>
    </row>
    <row r="106" spans="2:8" ht="17.100000000000001" hidden="1" customHeight="1" x14ac:dyDescent="0.2">
      <c r="B106" s="195" t="s">
        <v>379</v>
      </c>
      <c r="C106" s="196" t="s">
        <v>380</v>
      </c>
      <c r="D106" s="196"/>
      <c r="E106" s="196"/>
      <c r="G106" s="182">
        <f>'22'!K46+'22'!K67+'22'!K74</f>
        <v>0</v>
      </c>
      <c r="H106" s="183"/>
    </row>
    <row r="107" spans="2:8" ht="5.0999999999999996" customHeight="1" x14ac:dyDescent="0.2">
      <c r="B107" s="185"/>
      <c r="C107" s="186"/>
      <c r="D107" s="186"/>
      <c r="E107" s="186"/>
      <c r="F107" s="187"/>
      <c r="G107" s="188"/>
      <c r="H107" s="189"/>
    </row>
    <row r="108" spans="2:8" ht="18.95" customHeight="1" x14ac:dyDescent="0.25">
      <c r="B108" s="190" t="s">
        <v>418</v>
      </c>
      <c r="C108" s="191" t="s">
        <v>42</v>
      </c>
      <c r="D108" s="191"/>
      <c r="E108" s="191"/>
      <c r="G108" s="158"/>
      <c r="H108" s="192">
        <f>SUM(G109:G116)</f>
        <v>37030</v>
      </c>
    </row>
    <row r="109" spans="2:8" ht="17.100000000000001" customHeight="1" x14ac:dyDescent="0.2">
      <c r="B109" s="195" t="s">
        <v>420</v>
      </c>
      <c r="C109" s="196" t="s">
        <v>1067</v>
      </c>
      <c r="D109" s="196"/>
      <c r="E109" s="196"/>
      <c r="G109" s="182">
        <f>'23'!K18</f>
        <v>37030</v>
      </c>
      <c r="H109" s="183"/>
    </row>
    <row r="110" spans="2:8" ht="17.100000000000001" hidden="1" customHeight="1" x14ac:dyDescent="0.2">
      <c r="B110" s="195" t="s">
        <v>422</v>
      </c>
      <c r="C110" s="196" t="s">
        <v>423</v>
      </c>
      <c r="D110" s="196"/>
      <c r="E110" s="196"/>
      <c r="G110" s="182">
        <f>'23'!K25</f>
        <v>0</v>
      </c>
      <c r="H110" s="183"/>
    </row>
    <row r="111" spans="2:8" ht="17.100000000000001" hidden="1" customHeight="1" x14ac:dyDescent="0.2">
      <c r="B111" s="195" t="s">
        <v>424</v>
      </c>
      <c r="C111" s="196" t="s">
        <v>425</v>
      </c>
      <c r="D111" s="196"/>
      <c r="E111" s="196"/>
      <c r="G111" s="182">
        <f>'23'!K31</f>
        <v>0</v>
      </c>
      <c r="H111" s="183"/>
    </row>
    <row r="112" spans="2:8" ht="17.100000000000001" hidden="1" customHeight="1" x14ac:dyDescent="0.2">
      <c r="B112" s="195" t="s">
        <v>426</v>
      </c>
      <c r="C112" s="196" t="s">
        <v>427</v>
      </c>
      <c r="D112" s="196"/>
      <c r="E112" s="196"/>
      <c r="G112" s="182">
        <f>'23'!K38+'23'!K46</f>
        <v>0</v>
      </c>
      <c r="H112" s="183"/>
    </row>
    <row r="113" spans="2:8" ht="17.100000000000001" hidden="1" customHeight="1" x14ac:dyDescent="0.2">
      <c r="B113" s="195" t="s">
        <v>432</v>
      </c>
      <c r="C113" s="196" t="s">
        <v>433</v>
      </c>
      <c r="D113" s="196"/>
      <c r="E113" s="196"/>
      <c r="G113" s="182">
        <f>'23'!K53+'23'!K58</f>
        <v>0</v>
      </c>
      <c r="H113" s="183"/>
    </row>
    <row r="114" spans="2:8" ht="17.100000000000001" hidden="1" customHeight="1" x14ac:dyDescent="0.2">
      <c r="B114" s="195" t="s">
        <v>436</v>
      </c>
      <c r="C114" s="196" t="s">
        <v>437</v>
      </c>
      <c r="D114" s="196"/>
      <c r="E114" s="196"/>
      <c r="G114" s="182">
        <f>'23'!K73</f>
        <v>0</v>
      </c>
      <c r="H114" s="183"/>
    </row>
    <row r="115" spans="2:8" ht="17.100000000000001" hidden="1" customHeight="1" x14ac:dyDescent="0.2">
      <c r="B115" s="195" t="s">
        <v>454</v>
      </c>
      <c r="C115" s="196" t="s">
        <v>455</v>
      </c>
      <c r="D115" s="196"/>
      <c r="E115" s="196"/>
      <c r="G115" s="182">
        <f>'23'!K79</f>
        <v>0</v>
      </c>
      <c r="H115" s="183"/>
    </row>
    <row r="116" spans="2:8" ht="17.100000000000001" hidden="1" customHeight="1" x14ac:dyDescent="0.2">
      <c r="B116" s="195" t="s">
        <v>718</v>
      </c>
      <c r="C116" s="196" t="s">
        <v>719</v>
      </c>
      <c r="D116" s="196"/>
      <c r="E116" s="196"/>
      <c r="G116" s="182">
        <f>'23'!K85+'23'!K91</f>
        <v>0</v>
      </c>
      <c r="H116" s="183"/>
    </row>
    <row r="117" spans="2:8" ht="5.0999999999999996" hidden="1" customHeight="1" x14ac:dyDescent="0.2">
      <c r="B117" s="185"/>
      <c r="C117" s="186"/>
      <c r="D117" s="186"/>
      <c r="E117" s="186"/>
      <c r="F117" s="187"/>
      <c r="G117" s="188"/>
      <c r="H117" s="189"/>
    </row>
    <row r="118" spans="2:8" ht="20.100000000000001" hidden="1" customHeight="1" x14ac:dyDescent="0.25">
      <c r="B118" s="190" t="s">
        <v>462</v>
      </c>
      <c r="C118" s="191" t="s">
        <v>463</v>
      </c>
      <c r="D118" s="191"/>
      <c r="E118" s="191"/>
      <c r="G118" s="158"/>
      <c r="H118" s="192">
        <f>'Estimate Summary'!H49</f>
        <v>0</v>
      </c>
    </row>
    <row r="119" spans="2:8" ht="4.5" customHeight="1" x14ac:dyDescent="0.2">
      <c r="B119" s="185"/>
      <c r="C119" s="186"/>
      <c r="D119" s="186"/>
      <c r="E119" s="186"/>
      <c r="F119" s="187"/>
      <c r="G119" s="188"/>
      <c r="H119" s="189"/>
    </row>
    <row r="120" spans="2:8" ht="18.95" customHeight="1" x14ac:dyDescent="0.25">
      <c r="B120" s="190" t="s">
        <v>464</v>
      </c>
      <c r="C120" s="191" t="s">
        <v>10</v>
      </c>
      <c r="D120" s="191"/>
      <c r="E120" s="191"/>
      <c r="G120" s="158"/>
      <c r="H120" s="192">
        <f>SUM(G121:G123)</f>
        <v>80800</v>
      </c>
    </row>
    <row r="121" spans="2:8" ht="17.100000000000001" customHeight="1" x14ac:dyDescent="0.2">
      <c r="B121" s="195" t="s">
        <v>465</v>
      </c>
      <c r="C121" s="196" t="s">
        <v>1068</v>
      </c>
      <c r="D121" s="196"/>
      <c r="E121" s="196"/>
      <c r="G121" s="182">
        <f>'26'!K26</f>
        <v>80800</v>
      </c>
      <c r="H121" s="183"/>
    </row>
    <row r="122" spans="2:8" ht="17.100000000000001" hidden="1" customHeight="1" x14ac:dyDescent="0.2">
      <c r="B122" s="195" t="s">
        <v>467</v>
      </c>
      <c r="C122" s="196" t="s">
        <v>720</v>
      </c>
      <c r="D122" s="196"/>
      <c r="E122" s="196"/>
      <c r="G122" s="182">
        <f>'26'!K37</f>
        <v>0</v>
      </c>
      <c r="H122" s="183"/>
    </row>
    <row r="123" spans="2:8" ht="17.100000000000001" hidden="1" customHeight="1" x14ac:dyDescent="0.2">
      <c r="B123" s="195" t="s">
        <v>479</v>
      </c>
      <c r="C123" s="196" t="s">
        <v>80</v>
      </c>
      <c r="D123" s="196"/>
      <c r="E123" s="196"/>
      <c r="G123" s="182">
        <f>'26'!K45</f>
        <v>0</v>
      </c>
      <c r="H123" s="183"/>
    </row>
    <row r="124" spans="2:8" ht="5.0999999999999996" customHeight="1" x14ac:dyDescent="0.2">
      <c r="B124" s="185"/>
      <c r="C124" s="186"/>
      <c r="D124" s="186"/>
      <c r="E124" s="186"/>
      <c r="F124" s="187"/>
      <c r="G124" s="188"/>
      <c r="H124" s="189"/>
    </row>
    <row r="125" spans="2:8" ht="18.95" hidden="1" customHeight="1" x14ac:dyDescent="0.25">
      <c r="B125" s="190" t="s">
        <v>486</v>
      </c>
      <c r="C125" s="191" t="s">
        <v>487</v>
      </c>
      <c r="D125" s="191"/>
      <c r="E125" s="191"/>
      <c r="G125" s="158"/>
      <c r="H125" s="192">
        <f>SUM(G126:G130)</f>
        <v>0</v>
      </c>
    </row>
    <row r="126" spans="2:8" ht="17.100000000000001" hidden="1" customHeight="1" x14ac:dyDescent="0.2">
      <c r="B126" s="195" t="s">
        <v>488</v>
      </c>
      <c r="C126" s="196" t="s">
        <v>489</v>
      </c>
      <c r="D126" s="196"/>
      <c r="E126" s="196"/>
      <c r="G126" s="182">
        <f>'27'!K24</f>
        <v>0</v>
      </c>
      <c r="H126" s="183"/>
    </row>
    <row r="127" spans="2:8" ht="17.100000000000001" hidden="1" customHeight="1" x14ac:dyDescent="0.2">
      <c r="B127" s="195" t="s">
        <v>490</v>
      </c>
      <c r="C127" s="196" t="s">
        <v>491</v>
      </c>
      <c r="D127" s="196"/>
      <c r="E127" s="196"/>
      <c r="G127" s="182">
        <f>'27'!K35</f>
        <v>0</v>
      </c>
      <c r="H127" s="183"/>
    </row>
    <row r="128" spans="2:8" ht="17.100000000000001" hidden="1" customHeight="1" x14ac:dyDescent="0.2">
      <c r="B128" s="195" t="s">
        <v>496</v>
      </c>
      <c r="C128" s="196" t="s">
        <v>497</v>
      </c>
      <c r="D128" s="196"/>
      <c r="E128" s="196"/>
      <c r="G128" s="182">
        <f>'27'!K43</f>
        <v>0</v>
      </c>
      <c r="H128" s="183"/>
    </row>
    <row r="129" spans="2:8" ht="17.100000000000001" hidden="1" customHeight="1" x14ac:dyDescent="0.2">
      <c r="B129" s="195" t="s">
        <v>498</v>
      </c>
      <c r="C129" s="196" t="s">
        <v>499</v>
      </c>
      <c r="D129" s="196"/>
      <c r="E129" s="196"/>
      <c r="G129" s="182">
        <f>'27'!K52</f>
        <v>0</v>
      </c>
      <c r="H129" s="183"/>
    </row>
    <row r="130" spans="2:8" ht="17.100000000000001" hidden="1" customHeight="1" x14ac:dyDescent="0.2">
      <c r="B130" s="195" t="s">
        <v>500</v>
      </c>
      <c r="C130" s="196" t="s">
        <v>501</v>
      </c>
      <c r="D130" s="196"/>
      <c r="E130" s="196"/>
      <c r="G130" s="182">
        <f>'27'!K63</f>
        <v>0</v>
      </c>
      <c r="H130" s="183"/>
    </row>
    <row r="131" spans="2:8" ht="5.0999999999999996" hidden="1" customHeight="1" x14ac:dyDescent="0.2">
      <c r="B131" s="185"/>
      <c r="C131" s="186"/>
      <c r="D131" s="186"/>
      <c r="E131" s="186"/>
      <c r="F131" s="187"/>
      <c r="G131" s="188"/>
      <c r="H131" s="189"/>
    </row>
    <row r="132" spans="2:8" ht="18.95" hidden="1" customHeight="1" x14ac:dyDescent="0.25">
      <c r="B132" s="190" t="s">
        <v>502</v>
      </c>
      <c r="C132" s="191" t="s">
        <v>503</v>
      </c>
      <c r="D132" s="191"/>
      <c r="E132" s="191"/>
      <c r="G132" s="158"/>
      <c r="H132" s="192">
        <f>SUM(G133:G136)</f>
        <v>0</v>
      </c>
    </row>
    <row r="133" spans="2:8" ht="17.100000000000001" hidden="1" customHeight="1" x14ac:dyDescent="0.2">
      <c r="B133" s="195" t="s">
        <v>504</v>
      </c>
      <c r="C133" s="196" t="s">
        <v>505</v>
      </c>
      <c r="D133" s="196"/>
      <c r="E133" s="196"/>
      <c r="G133" s="182">
        <f>'28'!K24</f>
        <v>0</v>
      </c>
      <c r="H133" s="183"/>
    </row>
    <row r="134" spans="2:8" ht="17.100000000000001" hidden="1" customHeight="1" x14ac:dyDescent="0.2">
      <c r="B134" s="195" t="s">
        <v>508</v>
      </c>
      <c r="C134" s="196" t="s">
        <v>509</v>
      </c>
      <c r="D134" s="196"/>
      <c r="E134" s="196"/>
      <c r="G134" s="182">
        <f>'28'!K35</f>
        <v>0</v>
      </c>
      <c r="H134" s="183"/>
    </row>
    <row r="135" spans="2:8" ht="17.100000000000001" hidden="1" customHeight="1" x14ac:dyDescent="0.2">
      <c r="B135" s="195" t="s">
        <v>510</v>
      </c>
      <c r="C135" s="196" t="s">
        <v>511</v>
      </c>
      <c r="D135" s="196"/>
      <c r="E135" s="196"/>
      <c r="G135" s="182">
        <f>'28'!K43</f>
        <v>0</v>
      </c>
      <c r="H135" s="183"/>
    </row>
    <row r="136" spans="2:8" ht="17.100000000000001" hidden="1" customHeight="1" x14ac:dyDescent="0.2">
      <c r="B136" s="195" t="s">
        <v>512</v>
      </c>
      <c r="C136" s="196" t="s">
        <v>514</v>
      </c>
      <c r="D136" s="196"/>
      <c r="E136" s="196"/>
      <c r="G136" s="182">
        <f>'28'!K52</f>
        <v>0</v>
      </c>
      <c r="H136" s="183"/>
    </row>
    <row r="137" spans="2:8" ht="5.0999999999999996" hidden="1" customHeight="1" x14ac:dyDescent="0.2">
      <c r="B137" s="185"/>
      <c r="C137" s="186"/>
      <c r="D137" s="186"/>
      <c r="E137" s="186"/>
      <c r="F137" s="187"/>
      <c r="G137" s="188"/>
      <c r="H137" s="189"/>
    </row>
    <row r="138" spans="2:8" ht="17.100000000000001" hidden="1" customHeight="1" x14ac:dyDescent="0.25">
      <c r="B138" s="190" t="s">
        <v>516</v>
      </c>
      <c r="C138" s="191" t="s">
        <v>517</v>
      </c>
      <c r="D138" s="191"/>
      <c r="E138" s="191"/>
      <c r="G138" s="158"/>
      <c r="H138" s="192">
        <f>SUM(G139:G142)</f>
        <v>0</v>
      </c>
    </row>
    <row r="139" spans="2:8" ht="17.100000000000001" hidden="1" customHeight="1" x14ac:dyDescent="0.2">
      <c r="B139" s="195" t="s">
        <v>518</v>
      </c>
      <c r="C139" s="196" t="s">
        <v>519</v>
      </c>
      <c r="D139" s="196"/>
      <c r="E139" s="196"/>
      <c r="G139" s="182">
        <f>'31'!K26</f>
        <v>0</v>
      </c>
      <c r="H139" s="183"/>
    </row>
    <row r="140" spans="2:8" ht="17.100000000000001" hidden="1" customHeight="1" x14ac:dyDescent="0.2">
      <c r="B140" s="195" t="s">
        <v>522</v>
      </c>
      <c r="C140" s="196" t="s">
        <v>523</v>
      </c>
      <c r="D140" s="196"/>
      <c r="E140" s="196"/>
      <c r="G140" s="182">
        <f>'31'!K49</f>
        <v>0</v>
      </c>
      <c r="H140" s="183"/>
    </row>
    <row r="141" spans="2:8" ht="17.100000000000001" hidden="1" customHeight="1" x14ac:dyDescent="0.2">
      <c r="B141" s="195" t="s">
        <v>721</v>
      </c>
      <c r="C141" s="196" t="s">
        <v>722</v>
      </c>
      <c r="D141" s="196"/>
      <c r="E141" s="196"/>
      <c r="G141" s="182">
        <f>'31'!K57</f>
        <v>0</v>
      </c>
      <c r="H141" s="183"/>
    </row>
    <row r="142" spans="2:8" ht="17.100000000000001" hidden="1" customHeight="1" x14ac:dyDescent="0.2">
      <c r="B142" s="195" t="s">
        <v>559</v>
      </c>
      <c r="C142" s="196" t="s">
        <v>560</v>
      </c>
      <c r="D142" s="196"/>
      <c r="E142" s="196"/>
      <c r="G142" s="182">
        <f>'31'!K66</f>
        <v>0</v>
      </c>
      <c r="H142" s="183"/>
    </row>
    <row r="143" spans="2:8" ht="5.0999999999999996" hidden="1" customHeight="1" x14ac:dyDescent="0.2">
      <c r="B143" s="185"/>
      <c r="C143" s="186"/>
      <c r="D143" s="186"/>
      <c r="E143" s="186"/>
      <c r="F143" s="187"/>
      <c r="G143" s="188"/>
      <c r="H143" s="189"/>
    </row>
    <row r="144" spans="2:8" ht="18.95" hidden="1" customHeight="1" x14ac:dyDescent="0.25">
      <c r="B144" s="190" t="s">
        <v>561</v>
      </c>
      <c r="C144" s="191" t="s">
        <v>562</v>
      </c>
      <c r="D144" s="191"/>
      <c r="E144" s="191"/>
      <c r="G144" s="158"/>
      <c r="H144" s="192">
        <f>SUM(G145:G147)</f>
        <v>0</v>
      </c>
    </row>
    <row r="145" spans="2:8" ht="17.100000000000001" hidden="1" customHeight="1" x14ac:dyDescent="0.2">
      <c r="B145" s="195" t="s">
        <v>563</v>
      </c>
      <c r="C145" s="196" t="s">
        <v>564</v>
      </c>
      <c r="D145" s="196"/>
      <c r="E145" s="196"/>
      <c r="G145" s="182">
        <f>'32'!K21+'32'!K33+'32'!K41</f>
        <v>0</v>
      </c>
      <c r="H145" s="183"/>
    </row>
    <row r="146" spans="2:8" ht="17.100000000000001" hidden="1" customHeight="1" x14ac:dyDescent="0.2">
      <c r="B146" s="195" t="s">
        <v>594</v>
      </c>
      <c r="C146" s="196" t="s">
        <v>595</v>
      </c>
      <c r="D146" s="196"/>
      <c r="E146" s="196"/>
      <c r="G146" s="182">
        <f>'32'!K50</f>
        <v>0</v>
      </c>
      <c r="H146" s="183"/>
    </row>
    <row r="147" spans="2:8" ht="17.100000000000001" hidden="1" customHeight="1" x14ac:dyDescent="0.2">
      <c r="B147" s="195" t="s">
        <v>604</v>
      </c>
      <c r="C147" s="196" t="s">
        <v>605</v>
      </c>
      <c r="D147" s="196"/>
      <c r="E147" s="196"/>
      <c r="G147" s="182">
        <f>'32'!K61</f>
        <v>0</v>
      </c>
      <c r="H147" s="183"/>
    </row>
    <row r="148" spans="2:8" ht="5.0999999999999996" hidden="1" customHeight="1" x14ac:dyDescent="0.2">
      <c r="B148" s="185"/>
      <c r="C148" s="186"/>
      <c r="D148" s="186"/>
      <c r="E148" s="186"/>
      <c r="F148" s="187"/>
      <c r="G148" s="188"/>
      <c r="H148" s="189"/>
    </row>
    <row r="149" spans="2:8" ht="18.95" hidden="1" customHeight="1" x14ac:dyDescent="0.25">
      <c r="B149" s="190" t="s">
        <v>612</v>
      </c>
      <c r="C149" s="191" t="s">
        <v>613</v>
      </c>
      <c r="D149" s="191"/>
      <c r="E149" s="191"/>
      <c r="G149" s="158"/>
      <c r="H149" s="192">
        <f>SUM(G150:G153)</f>
        <v>0</v>
      </c>
    </row>
    <row r="150" spans="2:8" ht="17.100000000000001" hidden="1" customHeight="1" x14ac:dyDescent="0.2">
      <c r="B150" s="195" t="s">
        <v>614</v>
      </c>
      <c r="C150" s="196" t="s">
        <v>615</v>
      </c>
      <c r="D150" s="196"/>
      <c r="E150" s="196"/>
      <c r="G150" s="182">
        <f>'33'!K26</f>
        <v>0</v>
      </c>
      <c r="H150" s="183"/>
    </row>
    <row r="151" spans="2:8" ht="17.100000000000001" hidden="1" customHeight="1" x14ac:dyDescent="0.2">
      <c r="B151" s="195" t="s">
        <v>620</v>
      </c>
      <c r="C151" s="196" t="s">
        <v>621</v>
      </c>
      <c r="D151" s="196"/>
      <c r="E151" s="196"/>
      <c r="G151" s="182">
        <f>'33'!K37</f>
        <v>0</v>
      </c>
      <c r="H151" s="183"/>
    </row>
    <row r="152" spans="2:8" ht="17.100000000000001" hidden="1" customHeight="1" x14ac:dyDescent="0.2">
      <c r="B152" s="195" t="s">
        <v>626</v>
      </c>
      <c r="C152" s="196" t="s">
        <v>627</v>
      </c>
      <c r="D152" s="196"/>
      <c r="E152" s="196"/>
      <c r="G152" s="182">
        <f>'33'!K45</f>
        <v>0</v>
      </c>
      <c r="H152" s="183"/>
    </row>
    <row r="153" spans="2:8" ht="17.100000000000001" hidden="1" customHeight="1" x14ac:dyDescent="0.2">
      <c r="B153" s="195" t="s">
        <v>636</v>
      </c>
      <c r="C153" s="196" t="s">
        <v>637</v>
      </c>
      <c r="D153" s="196"/>
      <c r="E153" s="196"/>
      <c r="G153" s="182">
        <f>'33'!K54</f>
        <v>0</v>
      </c>
      <c r="H153" s="183"/>
    </row>
    <row r="154" spans="2:8" ht="5.0999999999999996" hidden="1" customHeight="1" x14ac:dyDescent="0.2">
      <c r="B154" s="185"/>
      <c r="C154" s="186"/>
      <c r="D154" s="186"/>
      <c r="E154" s="186"/>
      <c r="F154" s="187"/>
      <c r="G154" s="187"/>
      <c r="H154" s="207"/>
    </row>
    <row r="155" spans="2:8" ht="12.95" customHeight="1" x14ac:dyDescent="0.2">
      <c r="B155" s="208"/>
      <c r="C155" s="922" t="s">
        <v>685</v>
      </c>
      <c r="D155" s="922"/>
      <c r="E155" s="922"/>
      <c r="F155" s="922"/>
      <c r="G155" s="931">
        <f>'Estimate Summary'!D68</f>
        <v>36237.312237600003</v>
      </c>
      <c r="H155" s="932"/>
    </row>
    <row r="156" spans="2:8" ht="11.1" customHeight="1" x14ac:dyDescent="0.2">
      <c r="B156" s="208"/>
      <c r="C156" s="922"/>
      <c r="D156" s="922"/>
      <c r="E156" s="922"/>
      <c r="F156" s="922"/>
      <c r="G156" s="933"/>
      <c r="H156" s="934"/>
    </row>
    <row r="157" spans="2:8" ht="21" customHeight="1" x14ac:dyDescent="0.25">
      <c r="B157" s="208"/>
      <c r="C157" s="881" t="s">
        <v>91</v>
      </c>
      <c r="D157" s="870"/>
      <c r="E157" s="870"/>
      <c r="F157" s="870"/>
      <c r="G157" s="872"/>
      <c r="H157" s="871">
        <f>SUM(G149:H156)+H125+H120+H108+H103+H100+H76+H68+H59+H41+H19+H7+H47</f>
        <v>760983.55698959995</v>
      </c>
    </row>
    <row r="158" spans="2:8" ht="22.5" hidden="1" customHeight="1" x14ac:dyDescent="0.2">
      <c r="B158" s="208"/>
      <c r="C158" s="870"/>
      <c r="D158" s="870"/>
      <c r="E158" s="870"/>
      <c r="F158" s="870"/>
      <c r="G158" s="874"/>
      <c r="H158" s="873"/>
    </row>
    <row r="159" spans="2:8" ht="12.95" customHeight="1" thickBot="1" x14ac:dyDescent="0.3">
      <c r="B159" s="209"/>
      <c r="C159" s="210"/>
      <c r="D159" s="210"/>
      <c r="E159" s="210"/>
      <c r="F159" s="211"/>
      <c r="G159" s="211"/>
      <c r="H159" s="212"/>
    </row>
    <row r="161" spans="3:7" x14ac:dyDescent="0.2">
      <c r="C161" s="159" t="s">
        <v>1159</v>
      </c>
      <c r="G161" s="278">
        <f>'9'!M16</f>
        <v>8500</v>
      </c>
    </row>
  </sheetData>
  <mergeCells count="5">
    <mergeCell ref="C155:F156"/>
    <mergeCell ref="B4:C4"/>
    <mergeCell ref="F3:H5"/>
    <mergeCell ref="B3:C3"/>
    <mergeCell ref="G155:H156"/>
  </mergeCells>
  <printOptions horizontalCentered="1"/>
  <pageMargins left="0.75" right="1.5605555555555555" top="0.75" bottom="0.75" header="0.05" footer="0.3"/>
  <pageSetup scale="68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M111"/>
  <sheetViews>
    <sheetView topLeftCell="A4" zoomScale="88" zoomScaleNormal="90" zoomScaleSheetLayoutView="90" zoomScalePageLayoutView="90" workbookViewId="0">
      <selection activeCell="D75" sqref="D75"/>
    </sheetView>
  </sheetViews>
  <sheetFormatPr defaultColWidth="9.140625" defaultRowHeight="12.75" x14ac:dyDescent="0.2"/>
  <cols>
    <col min="1" max="1" width="24.140625" style="157" customWidth="1"/>
    <col min="2" max="2" width="39.140625" style="157" customWidth="1"/>
    <col min="3" max="3" width="22.85546875" style="276" customWidth="1"/>
    <col min="4" max="4" width="18.5703125" style="316" customWidth="1"/>
    <col min="5" max="5" width="26.85546875" style="222" customWidth="1"/>
    <col min="6" max="6" width="26.5703125" style="316" customWidth="1"/>
    <col min="7" max="7" width="22.5703125" style="316" customWidth="1"/>
    <col min="8" max="8" width="23" style="157" customWidth="1"/>
    <col min="9" max="9" width="8.85546875" style="157" customWidth="1"/>
    <col min="10" max="10" width="1.5703125" style="157" customWidth="1"/>
    <col min="11" max="11" width="20.42578125" style="157" bestFit="1" customWidth="1"/>
    <col min="12" max="12" width="21.42578125" style="157" customWidth="1"/>
    <col min="13" max="13" width="21.7109375" style="157" customWidth="1"/>
    <col min="14" max="16384" width="9.140625" style="157"/>
  </cols>
  <sheetData>
    <row r="1" spans="1:13" ht="19.5" thickTop="1" thickBot="1" x14ac:dyDescent="0.3">
      <c r="A1" s="213"/>
      <c r="B1" s="214"/>
      <c r="C1" s="215"/>
      <c r="D1" s="216"/>
      <c r="E1" s="216"/>
      <c r="F1" s="216"/>
      <c r="G1" s="216"/>
      <c r="H1" s="216"/>
      <c r="I1" s="216"/>
      <c r="J1" s="288"/>
    </row>
    <row r="2" spans="1:13" ht="18" customHeight="1" thickBot="1" x14ac:dyDescent="0.3">
      <c r="A2" s="935" t="s">
        <v>743</v>
      </c>
      <c r="B2" s="936"/>
      <c r="C2" s="936"/>
      <c r="D2" s="936"/>
      <c r="E2" s="937"/>
      <c r="F2" s="937"/>
      <c r="G2" s="936"/>
      <c r="H2" s="938"/>
      <c r="I2" s="217"/>
      <c r="J2" s="289"/>
    </row>
    <row r="3" spans="1:13" ht="16.5" thickBot="1" x14ac:dyDescent="0.3">
      <c r="A3" s="218" t="s">
        <v>956</v>
      </c>
      <c r="B3" s="219">
        <v>46030</v>
      </c>
      <c r="C3" s="220"/>
      <c r="D3" s="221"/>
      <c r="F3" s="290"/>
      <c r="G3" s="224"/>
      <c r="H3" s="225"/>
      <c r="I3" s="226"/>
      <c r="J3" s="289"/>
    </row>
    <row r="4" spans="1:13" ht="16.5" thickBot="1" x14ac:dyDescent="0.3">
      <c r="A4" s="218" t="s">
        <v>954</v>
      </c>
      <c r="B4" s="227">
        <v>3041</v>
      </c>
      <c r="C4" s="228" t="s">
        <v>643</v>
      </c>
      <c r="D4" s="229">
        <v>1747</v>
      </c>
      <c r="F4" s="290"/>
      <c r="G4" s="224"/>
      <c r="H4" s="225"/>
      <c r="I4" s="226"/>
      <c r="J4" s="289"/>
    </row>
    <row r="5" spans="1:13" ht="16.5" thickBot="1" x14ac:dyDescent="0.3">
      <c r="A5" s="218" t="s">
        <v>900</v>
      </c>
      <c r="B5" s="227" t="s">
        <v>932</v>
      </c>
      <c r="C5" s="228" t="s">
        <v>896</v>
      </c>
      <c r="D5" s="227" t="s">
        <v>985</v>
      </c>
      <c r="E5" s="230" t="s">
        <v>895</v>
      </c>
      <c r="F5" s="231"/>
      <c r="G5" s="228"/>
      <c r="H5" s="225"/>
      <c r="I5" s="226"/>
      <c r="J5" s="289"/>
    </row>
    <row r="6" spans="1:13" ht="16.5" thickBot="1" x14ac:dyDescent="0.3">
      <c r="A6" s="218" t="s">
        <v>901</v>
      </c>
      <c r="B6" s="227" t="s">
        <v>837</v>
      </c>
      <c r="C6" s="228" t="s">
        <v>897</v>
      </c>
      <c r="D6" s="227" t="s">
        <v>986</v>
      </c>
      <c r="E6" s="228" t="s">
        <v>894</v>
      </c>
      <c r="F6" s="227"/>
      <c r="G6" s="157"/>
      <c r="I6" s="232"/>
      <c r="J6" s="289"/>
    </row>
    <row r="7" spans="1:13" ht="16.5" thickBot="1" x14ac:dyDescent="0.3">
      <c r="A7" s="218" t="s">
        <v>893</v>
      </c>
      <c r="B7" s="227">
        <v>2026</v>
      </c>
      <c r="C7" s="233" t="s">
        <v>898</v>
      </c>
      <c r="D7" s="234" t="s">
        <v>938</v>
      </c>
      <c r="E7" s="228" t="s">
        <v>955</v>
      </c>
      <c r="F7" s="227"/>
      <c r="G7" s="233"/>
      <c r="H7" s="235"/>
      <c r="I7" s="236"/>
      <c r="J7" s="289"/>
    </row>
    <row r="8" spans="1:13" ht="16.5" thickBot="1" x14ac:dyDescent="0.3">
      <c r="A8" s="218" t="s">
        <v>953</v>
      </c>
      <c r="B8" s="227" t="s">
        <v>931</v>
      </c>
      <c r="C8" s="233" t="s">
        <v>899</v>
      </c>
      <c r="D8" s="234" t="s">
        <v>939</v>
      </c>
      <c r="E8" s="228"/>
      <c r="F8" s="227"/>
      <c r="G8" s="220"/>
      <c r="H8" s="237"/>
      <c r="I8" s="226"/>
      <c r="J8" s="289"/>
    </row>
    <row r="9" spans="1:13" ht="12.95" customHeight="1" thickBot="1" x14ac:dyDescent="0.25">
      <c r="A9" s="942"/>
      <c r="B9" s="943"/>
      <c r="C9" s="238"/>
      <c r="D9" s="239"/>
      <c r="E9" s="238"/>
      <c r="F9" s="941"/>
      <c r="G9" s="941"/>
      <c r="H9" s="291"/>
      <c r="I9" s="292"/>
      <c r="J9" s="289"/>
    </row>
    <row r="10" spans="1:13" ht="11.1" customHeight="1" thickBot="1" x14ac:dyDescent="0.25">
      <c r="A10" s="293"/>
      <c r="B10" s="238"/>
      <c r="C10" s="240"/>
      <c r="D10" s="238"/>
      <c r="E10" s="241"/>
      <c r="F10" s="941"/>
      <c r="G10" s="941"/>
      <c r="H10" s="291"/>
      <c r="I10" s="292"/>
      <c r="J10" s="289"/>
    </row>
    <row r="11" spans="1:13" ht="14.25" customHeight="1" thickBot="1" x14ac:dyDescent="0.25">
      <c r="A11" s="294"/>
      <c r="B11" s="295"/>
      <c r="C11" s="242" t="s">
        <v>643</v>
      </c>
      <c r="D11" s="243">
        <f>D4</f>
        <v>1747</v>
      </c>
      <c r="E11" s="244" t="s">
        <v>642</v>
      </c>
      <c r="F11" s="295"/>
      <c r="G11" s="245"/>
      <c r="H11" s="296"/>
      <c r="I11" s="297"/>
      <c r="J11" s="289"/>
    </row>
    <row r="12" spans="1:13" ht="9" hidden="1" customHeight="1" x14ac:dyDescent="0.2">
      <c r="A12" s="246"/>
      <c r="B12" s="247"/>
      <c r="C12" s="248"/>
      <c r="D12" s="249"/>
      <c r="E12" s="250"/>
      <c r="F12" s="298"/>
      <c r="G12" s="298"/>
      <c r="H12" s="299"/>
      <c r="I12" s="299"/>
      <c r="J12" s="300"/>
    </row>
    <row r="13" spans="1:13" ht="21.75" customHeight="1" x14ac:dyDescent="0.25">
      <c r="A13" s="940" t="s">
        <v>0</v>
      </c>
      <c r="B13" s="939" t="s">
        <v>1</v>
      </c>
      <c r="C13" s="251"/>
      <c r="D13" s="944" t="s">
        <v>13</v>
      </c>
      <c r="E13" s="945" t="s">
        <v>2</v>
      </c>
      <c r="F13" s="944" t="s">
        <v>12</v>
      </c>
      <c r="G13" s="944" t="s">
        <v>37</v>
      </c>
      <c r="H13" s="939" t="s">
        <v>38</v>
      </c>
      <c r="I13" s="301"/>
      <c r="J13" s="300"/>
      <c r="K13" s="947" t="s">
        <v>1004</v>
      </c>
      <c r="L13" s="322" t="s">
        <v>1021</v>
      </c>
      <c r="M13" s="322" t="s">
        <v>1053</v>
      </c>
    </row>
    <row r="14" spans="1:13" ht="8.1" customHeight="1" x14ac:dyDescent="0.25">
      <c r="A14" s="940"/>
      <c r="B14" s="939"/>
      <c r="C14" s="252" t="s">
        <v>681</v>
      </c>
      <c r="D14" s="944"/>
      <c r="E14" s="945"/>
      <c r="F14" s="944"/>
      <c r="G14" s="944"/>
      <c r="H14" s="939"/>
      <c r="I14" s="301" t="s">
        <v>959</v>
      </c>
      <c r="J14" s="300"/>
      <c r="K14" s="947"/>
    </row>
    <row r="15" spans="1:13" ht="15.75" x14ac:dyDescent="0.25">
      <c r="A15" s="302" t="s">
        <v>684</v>
      </c>
      <c r="B15" s="253" t="s">
        <v>3</v>
      </c>
      <c r="C15" s="254">
        <f>H15/D$66</f>
        <v>0.17352832893261144</v>
      </c>
      <c r="D15" s="255">
        <f>SUM('1'!F139:F140)</f>
        <v>17547.114752000001</v>
      </c>
      <c r="E15" s="256">
        <f>SUM('1'!G139:G140)</f>
        <v>50</v>
      </c>
      <c r="F15" s="303">
        <f>SUM('1'!I139:I140)</f>
        <v>57200</v>
      </c>
      <c r="G15" s="303">
        <f>SUM('1'!J139:J140)</f>
        <v>51016.89</v>
      </c>
      <c r="H15" s="304">
        <f>D15+F15+G15</f>
        <v>125764.00475199999</v>
      </c>
      <c r="I15" s="304" t="str">
        <f>ROUNDUP(H15/D$11,1)&amp;"$/SF"</f>
        <v>72$/SF</v>
      </c>
      <c r="J15" s="300"/>
      <c r="K15" s="157" t="s">
        <v>988</v>
      </c>
      <c r="L15" s="157" t="s">
        <v>1006</v>
      </c>
      <c r="M15" s="157" t="s">
        <v>1039</v>
      </c>
    </row>
    <row r="16" spans="1:13" x14ac:dyDescent="0.2">
      <c r="A16" s="305"/>
      <c r="B16" s="258"/>
      <c r="C16" s="254"/>
      <c r="D16" s="255"/>
      <c r="E16" s="256"/>
      <c r="F16" s="303"/>
      <c r="G16" s="303"/>
      <c r="H16" s="304"/>
      <c r="I16" s="304"/>
      <c r="J16" s="300"/>
    </row>
    <row r="17" spans="1:13" ht="15.75" x14ac:dyDescent="0.25">
      <c r="A17" s="302" t="s">
        <v>152</v>
      </c>
      <c r="B17" s="253" t="s">
        <v>154</v>
      </c>
      <c r="C17" s="254">
        <f>H17/D$66</f>
        <v>2.3851106680677005E-2</v>
      </c>
      <c r="D17" s="255">
        <f>SUM('2'!F51:F52)</f>
        <v>1500</v>
      </c>
      <c r="E17" s="256">
        <f>SUM('2'!G51:G52)</f>
        <v>0</v>
      </c>
      <c r="F17" s="303">
        <f>SUM('2'!I51:I52)</f>
        <v>0</v>
      </c>
      <c r="G17" s="303">
        <f>SUM('2'!J51:J52)</f>
        <v>15786</v>
      </c>
      <c r="H17" s="304">
        <f>D17+F17+G17</f>
        <v>17286</v>
      </c>
      <c r="I17" s="304" t="str">
        <f>ROUNDUP(H17/D$11,1)&amp;"$/SF"</f>
        <v>9.9$/SF</v>
      </c>
      <c r="J17" s="300"/>
      <c r="K17" s="157" t="s">
        <v>989</v>
      </c>
      <c r="L17" s="157" t="s">
        <v>989</v>
      </c>
      <c r="M17" s="157" t="s">
        <v>1040</v>
      </c>
    </row>
    <row r="18" spans="1:13" x14ac:dyDescent="0.2">
      <c r="A18" s="305"/>
      <c r="B18" s="258"/>
      <c r="C18" s="254"/>
      <c r="D18" s="255"/>
      <c r="E18" s="256"/>
      <c r="F18" s="303"/>
      <c r="G18" s="303"/>
      <c r="H18" s="304"/>
      <c r="I18" s="304"/>
      <c r="J18" s="300"/>
    </row>
    <row r="19" spans="1:13" ht="15.75" x14ac:dyDescent="0.25">
      <c r="A19" s="302" t="s">
        <v>158</v>
      </c>
      <c r="B19" s="253" t="s">
        <v>4</v>
      </c>
      <c r="C19" s="254">
        <f>H19/D$66</f>
        <v>0</v>
      </c>
      <c r="D19" s="255">
        <f>SUM('3'!F78:F79)</f>
        <v>0</v>
      </c>
      <c r="E19" s="256">
        <f>SUM('3'!G78:G79)</f>
        <v>0</v>
      </c>
      <c r="F19" s="303">
        <f>SUM('3'!I78:I79)</f>
        <v>0</v>
      </c>
      <c r="G19" s="303">
        <f>SUM('3'!J78:J79)</f>
        <v>0</v>
      </c>
      <c r="H19" s="304">
        <f>D19+F19+G19</f>
        <v>0</v>
      </c>
      <c r="I19" s="304" t="str">
        <f>ROUNDUP(H19/D$11,1)&amp;"$/SF"</f>
        <v>0$/SF</v>
      </c>
      <c r="J19" s="300"/>
      <c r="K19" s="157" t="s">
        <v>990</v>
      </c>
      <c r="L19" s="157" t="s">
        <v>1007</v>
      </c>
      <c r="M19" s="157" t="s">
        <v>1041</v>
      </c>
    </row>
    <row r="20" spans="1:13" x14ac:dyDescent="0.2">
      <c r="A20" s="305"/>
      <c r="B20" s="258"/>
      <c r="C20" s="254"/>
      <c r="D20" s="255"/>
      <c r="E20" s="256"/>
      <c r="F20" s="303"/>
      <c r="G20" s="303"/>
      <c r="H20" s="304"/>
      <c r="I20" s="304"/>
      <c r="J20" s="300"/>
    </row>
    <row r="21" spans="1:13" ht="15.75" x14ac:dyDescent="0.25">
      <c r="A21" s="302" t="s">
        <v>171</v>
      </c>
      <c r="B21" s="253" t="s">
        <v>5</v>
      </c>
      <c r="C21" s="254">
        <f>H21/D$66</f>
        <v>0</v>
      </c>
      <c r="D21" s="255">
        <f>SUM('4'!F68:F69)</f>
        <v>0</v>
      </c>
      <c r="E21" s="256">
        <f>SUM('4'!G68:G69)</f>
        <v>0</v>
      </c>
      <c r="F21" s="303">
        <f>SUM('4'!I68:I69)</f>
        <v>0</v>
      </c>
      <c r="G21" s="303">
        <f>SUM('4'!J68:J69)</f>
        <v>0</v>
      </c>
      <c r="H21" s="304">
        <f>D21+F21+G21</f>
        <v>0</v>
      </c>
      <c r="I21" s="304" t="str">
        <f>ROUNDUP(H21/D$11,1)&amp;"$/SF"</f>
        <v>0$/SF</v>
      </c>
      <c r="J21" s="300"/>
      <c r="K21" s="157" t="s">
        <v>991</v>
      </c>
      <c r="L21" s="157" t="s">
        <v>989</v>
      </c>
      <c r="M21" s="157" t="s">
        <v>989</v>
      </c>
    </row>
    <row r="22" spans="1:13" x14ac:dyDescent="0.2">
      <c r="A22" s="305"/>
      <c r="B22" s="258"/>
      <c r="C22" s="254"/>
      <c r="D22" s="255"/>
      <c r="E22" s="256"/>
      <c r="F22" s="303"/>
      <c r="G22" s="303"/>
      <c r="H22" s="304"/>
      <c r="I22" s="304"/>
      <c r="J22" s="300"/>
    </row>
    <row r="23" spans="1:13" ht="15.75" x14ac:dyDescent="0.25">
      <c r="A23" s="302" t="s">
        <v>177</v>
      </c>
      <c r="B23" s="253" t="s">
        <v>6</v>
      </c>
      <c r="C23" s="254">
        <f>H23/D$66</f>
        <v>0</v>
      </c>
      <c r="D23" s="255">
        <f>SUM('5'!F77:F78)</f>
        <v>0</v>
      </c>
      <c r="E23" s="256">
        <f>SUM('5'!G77:G78)</f>
        <v>0</v>
      </c>
      <c r="F23" s="303">
        <f>SUM('5'!I77:I78)</f>
        <v>0</v>
      </c>
      <c r="G23" s="303">
        <f>SUM('5'!J77:J78)</f>
        <v>0</v>
      </c>
      <c r="H23" s="304">
        <f>D23+F23+G23</f>
        <v>0</v>
      </c>
      <c r="I23" s="304" t="str">
        <f>ROUNDUP(H23/D$11,1)&amp;"$/SF"</f>
        <v>0$/SF</v>
      </c>
      <c r="J23" s="300"/>
      <c r="K23" s="157" t="s">
        <v>989</v>
      </c>
      <c r="L23" s="157" t="s">
        <v>1008</v>
      </c>
      <c r="M23" s="157" t="s">
        <v>1042</v>
      </c>
    </row>
    <row r="24" spans="1:13" x14ac:dyDescent="0.2">
      <c r="A24" s="305"/>
      <c r="B24" s="258"/>
      <c r="C24" s="254"/>
      <c r="D24" s="255"/>
      <c r="E24" s="256"/>
      <c r="F24" s="303"/>
      <c r="G24" s="303"/>
      <c r="H24" s="304"/>
      <c r="I24" s="304"/>
      <c r="J24" s="300"/>
    </row>
    <row r="25" spans="1:13" ht="15.75" x14ac:dyDescent="0.25">
      <c r="A25" s="302" t="s">
        <v>190</v>
      </c>
      <c r="B25" s="253" t="s">
        <v>191</v>
      </c>
      <c r="C25" s="254">
        <f>H25/D$66</f>
        <v>0.25411763266606663</v>
      </c>
      <c r="D25" s="255">
        <f>SUM('6'!F98:F99)</f>
        <v>1995.8000000000002</v>
      </c>
      <c r="E25" s="256">
        <f>SUM('6'!G98:G99)</f>
        <v>20</v>
      </c>
      <c r="F25" s="303">
        <f>SUM('6'!I98:I99)</f>
        <v>1300</v>
      </c>
      <c r="G25" s="303">
        <f>SUM('6'!J98:J99)</f>
        <v>180875</v>
      </c>
      <c r="H25" s="304">
        <f>D25+F25+G25</f>
        <v>184170.8</v>
      </c>
      <c r="I25" s="304" t="str">
        <f>ROUNDUP(H25/D$11,1)&amp;"$/SF"</f>
        <v>105.5$/SF</v>
      </c>
      <c r="J25" s="300"/>
      <c r="K25" s="157" t="s">
        <v>992</v>
      </c>
      <c r="L25" s="157" t="s">
        <v>1009</v>
      </c>
      <c r="M25" s="157" t="s">
        <v>1043</v>
      </c>
    </row>
    <row r="26" spans="1:13" x14ac:dyDescent="0.2">
      <c r="A26" s="305"/>
      <c r="B26" s="258"/>
      <c r="C26" s="254"/>
      <c r="D26" s="255"/>
      <c r="E26" s="256"/>
      <c r="F26" s="303"/>
      <c r="G26" s="303"/>
      <c r="H26" s="304"/>
      <c r="I26" s="304"/>
      <c r="J26" s="300"/>
    </row>
    <row r="27" spans="1:13" ht="15.75" x14ac:dyDescent="0.25">
      <c r="A27" s="302" t="s">
        <v>204</v>
      </c>
      <c r="B27" s="253" t="s">
        <v>56</v>
      </c>
      <c r="C27" s="254">
        <f>H27/D$66</f>
        <v>1.1653734063693045E-2</v>
      </c>
      <c r="D27" s="255">
        <f>SUM('7'!F93:F94)</f>
        <v>0</v>
      </c>
      <c r="E27" s="256">
        <f>SUM('7'!G93:G94)</f>
        <v>0</v>
      </c>
      <c r="F27" s="303">
        <f>SUM('7'!I93:I94)</f>
        <v>0</v>
      </c>
      <c r="G27" s="303">
        <f>SUM('7'!J93:J94)</f>
        <v>8446</v>
      </c>
      <c r="H27" s="304">
        <f>D27+F27+G27</f>
        <v>8446</v>
      </c>
      <c r="I27" s="304" t="str">
        <f>ROUNDUP(H27/D$11,1)&amp;"$/SF"</f>
        <v>4.9$/SF</v>
      </c>
      <c r="J27" s="300"/>
      <c r="K27" s="157" t="s">
        <v>993</v>
      </c>
      <c r="L27" s="157" t="s">
        <v>1010</v>
      </c>
      <c r="M27" s="157" t="s">
        <v>989</v>
      </c>
    </row>
    <row r="28" spans="1:13" x14ac:dyDescent="0.2">
      <c r="A28" s="305"/>
      <c r="B28" s="258"/>
      <c r="C28" s="254"/>
      <c r="D28" s="255"/>
      <c r="E28" s="256"/>
      <c r="F28" s="303"/>
      <c r="G28" s="303"/>
      <c r="H28" s="304"/>
      <c r="I28" s="304"/>
      <c r="J28" s="300"/>
    </row>
    <row r="29" spans="1:13" ht="15.75" x14ac:dyDescent="0.25">
      <c r="A29" s="302" t="s">
        <v>242</v>
      </c>
      <c r="B29" s="253" t="s">
        <v>243</v>
      </c>
      <c r="C29" s="254">
        <f>H29/D$66</f>
        <v>3.1335105444763089E-2</v>
      </c>
      <c r="D29" s="255">
        <f>SUM('8'!F108:F109)</f>
        <v>480</v>
      </c>
      <c r="E29" s="256">
        <f>SUM('8'!G108:G109)</f>
        <v>28</v>
      </c>
      <c r="F29" s="303">
        <f>SUM('8'!I108:I109)</f>
        <v>1820</v>
      </c>
      <c r="G29" s="303">
        <f>SUM('8'!J108:J109)</f>
        <v>20410</v>
      </c>
      <c r="H29" s="304">
        <f>D29+F29+G29</f>
        <v>22710</v>
      </c>
      <c r="I29" s="304" t="str">
        <f>ROUNDUP(H29/D$11,1)&amp;"$/SF"</f>
        <v>13$/SF</v>
      </c>
      <c r="J29" s="300"/>
      <c r="K29" s="157" t="s">
        <v>994</v>
      </c>
      <c r="L29" s="157" t="s">
        <v>1011</v>
      </c>
      <c r="M29" s="157" t="s">
        <v>1044</v>
      </c>
    </row>
    <row r="30" spans="1:13" x14ac:dyDescent="0.2">
      <c r="A30" s="305"/>
      <c r="B30" s="258"/>
      <c r="C30" s="254"/>
      <c r="D30" s="255"/>
      <c r="E30" s="256"/>
      <c r="F30" s="303"/>
      <c r="G30" s="303"/>
      <c r="H30" s="304"/>
      <c r="I30" s="304"/>
      <c r="J30" s="300"/>
    </row>
    <row r="31" spans="1:13" ht="15.75" x14ac:dyDescent="0.25">
      <c r="A31" s="302" t="s">
        <v>279</v>
      </c>
      <c r="B31" s="253" t="s">
        <v>8</v>
      </c>
      <c r="C31" s="254">
        <f>H31/D$66</f>
        <v>0.13813309240982269</v>
      </c>
      <c r="D31" s="255">
        <f>SUM('9'!F65:F66)</f>
        <v>3494</v>
      </c>
      <c r="E31" s="256">
        <f>SUM('9'!G65:G66)</f>
        <v>0</v>
      </c>
      <c r="F31" s="303">
        <f>SUM('9'!I65:I66)</f>
        <v>0</v>
      </c>
      <c r="G31" s="303">
        <f>SUM('9'!J65:J66)</f>
        <v>96617.44</v>
      </c>
      <c r="H31" s="304">
        <f>D31+F31+G31</f>
        <v>100111.44</v>
      </c>
      <c r="I31" s="304" t="str">
        <f>ROUNDUP(H31/D$11,1)&amp;"$/SF"</f>
        <v>57.4$/SF</v>
      </c>
      <c r="J31" s="300"/>
      <c r="K31" s="157" t="s">
        <v>995</v>
      </c>
      <c r="L31" s="157" t="s">
        <v>1012</v>
      </c>
      <c r="M31" s="157" t="s">
        <v>1045</v>
      </c>
    </row>
    <row r="32" spans="1:13" x14ac:dyDescent="0.2">
      <c r="A32" s="305"/>
      <c r="B32" s="258"/>
      <c r="C32" s="254"/>
      <c r="D32" s="255"/>
      <c r="E32" s="256"/>
      <c r="F32" s="303"/>
      <c r="G32" s="303"/>
      <c r="H32" s="304"/>
      <c r="I32" s="304"/>
      <c r="J32" s="300"/>
    </row>
    <row r="33" spans="1:13" ht="15.75" x14ac:dyDescent="0.25">
      <c r="A33" s="302" t="s">
        <v>298</v>
      </c>
      <c r="B33" s="253" t="s">
        <v>9</v>
      </c>
      <c r="C33" s="254">
        <f>H33/D$66</f>
        <v>1.6129783472007067E-2</v>
      </c>
      <c r="D33" s="255">
        <f>SUM('10'!F74:F75)</f>
        <v>0</v>
      </c>
      <c r="E33" s="256">
        <f>SUM('10'!G74:G75)</f>
        <v>46</v>
      </c>
      <c r="F33" s="303">
        <f>SUM('10'!I74:I75)</f>
        <v>1690</v>
      </c>
      <c r="G33" s="303">
        <f>SUM('10'!J74:J75)</f>
        <v>10000</v>
      </c>
      <c r="H33" s="304">
        <f>D33+F33+G33</f>
        <v>11690</v>
      </c>
      <c r="I33" s="304" t="str">
        <f>ROUNDUP(H33/D$11,1)&amp;"$/SF"</f>
        <v>6.7$/SF</v>
      </c>
      <c r="J33" s="300"/>
      <c r="K33" s="157" t="s">
        <v>996</v>
      </c>
      <c r="L33" s="157" t="s">
        <v>1013</v>
      </c>
      <c r="M33" s="157" t="s">
        <v>1046</v>
      </c>
    </row>
    <row r="34" spans="1:13" x14ac:dyDescent="0.2">
      <c r="A34" s="305"/>
      <c r="B34" s="258"/>
      <c r="C34" s="254"/>
      <c r="D34" s="255"/>
      <c r="E34" s="256"/>
      <c r="F34" s="303"/>
      <c r="G34" s="303"/>
      <c r="H34" s="304"/>
      <c r="I34" s="304"/>
      <c r="J34" s="300"/>
    </row>
    <row r="35" spans="1:13" ht="15.75" x14ac:dyDescent="0.25">
      <c r="A35" s="302" t="s">
        <v>326</v>
      </c>
      <c r="B35" s="253" t="s">
        <v>69</v>
      </c>
      <c r="C35" s="254">
        <f>H35/D$66</f>
        <v>0</v>
      </c>
      <c r="D35" s="255">
        <f>SUM('11'!F99:F100)</f>
        <v>0</v>
      </c>
      <c r="E35" s="256">
        <f>SUM('11'!G99:G100)</f>
        <v>0</v>
      </c>
      <c r="F35" s="303">
        <f>SUM('11'!I99:I100)</f>
        <v>0</v>
      </c>
      <c r="G35" s="303">
        <f>SUM('11'!J99:J100)</f>
        <v>0</v>
      </c>
      <c r="H35" s="304">
        <f>D35+F35+G35</f>
        <v>0</v>
      </c>
      <c r="I35" s="304" t="str">
        <f>ROUNDUP(H35/D$11,1)&amp;"$/SF"</f>
        <v>0$/SF</v>
      </c>
      <c r="J35" s="300"/>
      <c r="K35" s="157" t="s">
        <v>989</v>
      </c>
      <c r="L35" s="157" t="s">
        <v>989</v>
      </c>
      <c r="M35" s="157" t="s">
        <v>989</v>
      </c>
    </row>
    <row r="36" spans="1:13" x14ac:dyDescent="0.2">
      <c r="A36" s="305"/>
      <c r="B36" s="258"/>
      <c r="C36" s="254"/>
      <c r="D36" s="255"/>
      <c r="E36" s="256"/>
      <c r="F36" s="303"/>
      <c r="G36" s="303"/>
      <c r="H36" s="304"/>
      <c r="I36" s="304"/>
      <c r="J36" s="300"/>
    </row>
    <row r="37" spans="1:13" ht="15.75" x14ac:dyDescent="0.25">
      <c r="A37" s="302" t="s">
        <v>347</v>
      </c>
      <c r="B37" s="253" t="s">
        <v>74</v>
      </c>
      <c r="C37" s="254">
        <f>H37/D$66</f>
        <v>0</v>
      </c>
      <c r="D37" s="255">
        <f>SUM('12'!F99:F100)</f>
        <v>0</v>
      </c>
      <c r="E37" s="256">
        <f>SUM('12'!G99:G100)</f>
        <v>0</v>
      </c>
      <c r="F37" s="303">
        <f>SUM('12'!I99:I100)</f>
        <v>0</v>
      </c>
      <c r="G37" s="303">
        <f>SUM('12'!J99:J100)</f>
        <v>0</v>
      </c>
      <c r="H37" s="304">
        <f>D37+F37+G37</f>
        <v>0</v>
      </c>
      <c r="I37" s="304" t="str">
        <f>ROUNDUP(H37/D$11,1)&amp;"$/SF"</f>
        <v>0$/SF</v>
      </c>
      <c r="J37" s="300"/>
      <c r="K37" s="157" t="s">
        <v>997</v>
      </c>
      <c r="L37" s="157" t="s">
        <v>989</v>
      </c>
      <c r="M37" s="157" t="s">
        <v>989</v>
      </c>
    </row>
    <row r="38" spans="1:13" x14ac:dyDescent="0.2">
      <c r="A38" s="305"/>
      <c r="B38" s="258"/>
      <c r="C38" s="254"/>
      <c r="D38" s="255"/>
      <c r="E38" s="256"/>
      <c r="F38" s="303"/>
      <c r="G38" s="303"/>
      <c r="H38" s="304"/>
      <c r="I38" s="304"/>
      <c r="J38" s="300"/>
    </row>
    <row r="39" spans="1:13" ht="15.75" x14ac:dyDescent="0.25">
      <c r="A39" s="302" t="s">
        <v>360</v>
      </c>
      <c r="B39" s="253" t="s">
        <v>75</v>
      </c>
      <c r="C39" s="254">
        <f>H39/D$66</f>
        <v>0</v>
      </c>
      <c r="D39" s="255">
        <f>+SUM('13'!F99:F100)</f>
        <v>0</v>
      </c>
      <c r="E39" s="256">
        <f>SUM('13'!G99:G100)</f>
        <v>0</v>
      </c>
      <c r="F39" s="303">
        <f>SUM('13'!I99:I100)</f>
        <v>0</v>
      </c>
      <c r="G39" s="303">
        <f>SUM('13'!J99:J100)</f>
        <v>0</v>
      </c>
      <c r="H39" s="304">
        <f>D39+F39+G39</f>
        <v>0</v>
      </c>
      <c r="I39" s="304" t="str">
        <f>ROUNDUP(H39/D$11,1)&amp;"$/SF"</f>
        <v>0$/SF</v>
      </c>
      <c r="J39" s="300"/>
      <c r="K39" s="157" t="s">
        <v>989</v>
      </c>
      <c r="L39" s="157" t="s">
        <v>989</v>
      </c>
      <c r="M39" s="157" t="s">
        <v>989</v>
      </c>
    </row>
    <row r="40" spans="1:13" x14ac:dyDescent="0.2">
      <c r="A40" s="305"/>
      <c r="B40" s="258"/>
      <c r="C40" s="254"/>
      <c r="D40" s="255"/>
      <c r="E40" s="256"/>
      <c r="F40" s="303"/>
      <c r="G40" s="303"/>
      <c r="H40" s="304"/>
      <c r="I40" s="304"/>
      <c r="J40" s="300"/>
    </row>
    <row r="41" spans="1:13" ht="15.75" x14ac:dyDescent="0.25">
      <c r="A41" s="302" t="s">
        <v>361</v>
      </c>
      <c r="B41" s="253" t="s">
        <v>362</v>
      </c>
      <c r="C41" s="254">
        <f>H41/D$66</f>
        <v>0</v>
      </c>
      <c r="D41" s="255">
        <f>SUM('14'!F99:F100)</f>
        <v>0</v>
      </c>
      <c r="E41" s="256">
        <f>SUM('14'!G99:G100)</f>
        <v>0</v>
      </c>
      <c r="F41" s="303">
        <f>SUM('14'!I99:I100)</f>
        <v>0</v>
      </c>
      <c r="G41" s="303">
        <f>SUM('14'!J99:J100)</f>
        <v>0</v>
      </c>
      <c r="H41" s="304">
        <f>D41+F41+G41</f>
        <v>0</v>
      </c>
      <c r="I41" s="304" t="str">
        <f>ROUNDUP(H41/D$11,1)&amp;"$/SF"</f>
        <v>0$/SF</v>
      </c>
      <c r="J41" s="300"/>
      <c r="K41" s="157" t="s">
        <v>989</v>
      </c>
      <c r="L41" s="157" t="s">
        <v>989</v>
      </c>
      <c r="M41" s="157" t="s">
        <v>989</v>
      </c>
    </row>
    <row r="42" spans="1:13" x14ac:dyDescent="0.2">
      <c r="A42" s="305"/>
      <c r="B42" s="258"/>
      <c r="C42" s="254"/>
      <c r="D42" s="255"/>
      <c r="E42" s="256"/>
      <c r="F42" s="303"/>
      <c r="G42" s="303"/>
      <c r="H42" s="304"/>
      <c r="I42" s="304"/>
      <c r="J42" s="300"/>
    </row>
    <row r="43" spans="1:13" ht="15.75" x14ac:dyDescent="0.25">
      <c r="A43" s="302" t="s">
        <v>367</v>
      </c>
      <c r="B43" s="253" t="s">
        <v>150</v>
      </c>
      <c r="C43" s="254">
        <f>H43/D$66</f>
        <v>9.5730057937369571E-3</v>
      </c>
      <c r="D43" s="255">
        <f>SUM('21'!F99:F100)</f>
        <v>0</v>
      </c>
      <c r="E43" s="256">
        <f>SUM('21'!G99:G100)</f>
        <v>0</v>
      </c>
      <c r="F43" s="303">
        <f>SUM('21'!I99:I100)</f>
        <v>0</v>
      </c>
      <c r="G43" s="303">
        <f>SUM('21'!J99:J100)</f>
        <v>6938</v>
      </c>
      <c r="H43" s="304">
        <f>D43+F43+G43</f>
        <v>6938</v>
      </c>
      <c r="I43" s="304" t="str">
        <f>ROUNDUP(H43/D$11,1)&amp;"$/SF"</f>
        <v>4$/SF</v>
      </c>
      <c r="J43" s="300"/>
      <c r="K43" s="157" t="s">
        <v>989</v>
      </c>
      <c r="L43" s="157" t="s">
        <v>1014</v>
      </c>
      <c r="M43" s="157" t="s">
        <v>1047</v>
      </c>
    </row>
    <row r="44" spans="1:13" x14ac:dyDescent="0.2">
      <c r="A44" s="305"/>
      <c r="B44" s="258"/>
      <c r="C44" s="254"/>
      <c r="D44" s="255"/>
      <c r="E44" s="256"/>
      <c r="F44" s="303"/>
      <c r="G44" s="303"/>
      <c r="H44" s="304"/>
      <c r="I44" s="304"/>
      <c r="J44" s="300"/>
    </row>
    <row r="45" spans="1:13" ht="15.75" x14ac:dyDescent="0.25">
      <c r="A45" s="302" t="s">
        <v>370</v>
      </c>
      <c r="B45" s="253" t="s">
        <v>41</v>
      </c>
      <c r="C45" s="254">
        <f>H45/D$66</f>
        <v>0.17909716806385947</v>
      </c>
      <c r="D45" s="255">
        <f>SUM('22'!F94:F95)</f>
        <v>0</v>
      </c>
      <c r="E45" s="256">
        <f>SUM('22'!G94:G95)</f>
        <v>0</v>
      </c>
      <c r="F45" s="303">
        <f>SUM('22'!I94:I95)</f>
        <v>0</v>
      </c>
      <c r="G45" s="303">
        <f>SUM('22'!J94:J95)</f>
        <v>129800</v>
      </c>
      <c r="H45" s="304">
        <f>D45+F45+G45</f>
        <v>129800</v>
      </c>
      <c r="I45" s="304" t="str">
        <f>ROUNDUP(H45/D$11,1)&amp;"$/SF"</f>
        <v>74.3$/SF</v>
      </c>
      <c r="J45" s="300"/>
      <c r="K45" s="157" t="s">
        <v>998</v>
      </c>
      <c r="L45" s="157" t="s">
        <v>1015</v>
      </c>
      <c r="M45" s="157" t="s">
        <v>1048</v>
      </c>
    </row>
    <row r="46" spans="1:13" x14ac:dyDescent="0.2">
      <c r="A46" s="305"/>
      <c r="B46" s="258"/>
      <c r="C46" s="254"/>
      <c r="D46" s="255"/>
      <c r="E46" s="256"/>
      <c r="F46" s="303"/>
      <c r="G46" s="303"/>
      <c r="H46" s="304"/>
      <c r="I46" s="304"/>
      <c r="J46" s="300"/>
    </row>
    <row r="47" spans="1:13" ht="15.75" x14ac:dyDescent="0.25">
      <c r="A47" s="302" t="s">
        <v>418</v>
      </c>
      <c r="B47" s="253" t="s">
        <v>42</v>
      </c>
      <c r="C47" s="254">
        <f>H47/D$66</f>
        <v>5.1093745249651129E-2</v>
      </c>
      <c r="D47" s="255">
        <f>SUM('23'!F102:F103)</f>
        <v>0</v>
      </c>
      <c r="E47" s="256">
        <f>SUM('23'!G102:G103)</f>
        <v>0</v>
      </c>
      <c r="F47" s="303">
        <f>SUM('23'!I102:I103)</f>
        <v>0</v>
      </c>
      <c r="G47" s="303">
        <f>SUM('23'!J102:J103)</f>
        <v>37030</v>
      </c>
      <c r="H47" s="304">
        <f>D47+F47+G47</f>
        <v>37030</v>
      </c>
      <c r="I47" s="304" t="str">
        <f>ROUNDUP(H47/D$11,1)&amp;"$/SF"</f>
        <v>21.2$/SF</v>
      </c>
      <c r="J47" s="300"/>
      <c r="K47" s="157" t="s">
        <v>999</v>
      </c>
      <c r="L47" s="157" t="s">
        <v>1016</v>
      </c>
      <c r="M47" s="157" t="s">
        <v>1049</v>
      </c>
    </row>
    <row r="48" spans="1:13" x14ac:dyDescent="0.2">
      <c r="A48" s="305"/>
      <c r="B48" s="258"/>
      <c r="C48" s="254"/>
      <c r="D48" s="255"/>
      <c r="E48" s="256"/>
      <c r="F48" s="303"/>
      <c r="G48" s="303"/>
      <c r="H48" s="304"/>
      <c r="I48" s="304"/>
      <c r="J48" s="300"/>
    </row>
    <row r="49" spans="1:13" ht="15.75" x14ac:dyDescent="0.25">
      <c r="A49" s="302" t="s">
        <v>462</v>
      </c>
      <c r="B49" s="253" t="s">
        <v>463</v>
      </c>
      <c r="C49" s="254">
        <f>H49/D$66</f>
        <v>0</v>
      </c>
      <c r="D49" s="255">
        <f>SUM('25'!F54:F55)</f>
        <v>0</v>
      </c>
      <c r="E49" s="256">
        <f>SUM('25'!G54:G55)</f>
        <v>0</v>
      </c>
      <c r="F49" s="303">
        <f>SUM('25'!I54:I55)</f>
        <v>0</v>
      </c>
      <c r="G49" s="303">
        <f>SUM('25'!J54:J55)</f>
        <v>0</v>
      </c>
      <c r="H49" s="304">
        <f>D49+F49+G49</f>
        <v>0</v>
      </c>
      <c r="I49" s="304" t="str">
        <f>ROUNDUP(H49/D$11,1)&amp;"$/SF"</f>
        <v>0$/SF</v>
      </c>
      <c r="J49" s="300"/>
      <c r="K49" s="157" t="s">
        <v>989</v>
      </c>
      <c r="L49" s="157" t="s">
        <v>989</v>
      </c>
      <c r="M49" s="157" t="s">
        <v>989</v>
      </c>
    </row>
    <row r="50" spans="1:13" x14ac:dyDescent="0.2">
      <c r="A50" s="305"/>
      <c r="B50" s="258"/>
      <c r="C50" s="254"/>
      <c r="D50" s="255"/>
      <c r="E50" s="256"/>
      <c r="F50" s="303"/>
      <c r="G50" s="303"/>
      <c r="H50" s="304"/>
      <c r="I50" s="304"/>
      <c r="J50" s="300"/>
    </row>
    <row r="51" spans="1:13" ht="15.75" x14ac:dyDescent="0.25">
      <c r="A51" s="302" t="s">
        <v>464</v>
      </c>
      <c r="B51" s="253" t="s">
        <v>10</v>
      </c>
      <c r="C51" s="254">
        <f>H51/D$66</f>
        <v>0.11148729722311129</v>
      </c>
      <c r="D51" s="255">
        <f>SUM('26'!F57:F58)</f>
        <v>0</v>
      </c>
      <c r="E51" s="256">
        <f>SUM('26'!G57:G58)</f>
        <v>0</v>
      </c>
      <c r="F51" s="303">
        <f>SUM('26'!I57:I58)</f>
        <v>0</v>
      </c>
      <c r="G51" s="303">
        <f>SUM('26'!J57:J58)</f>
        <v>80800</v>
      </c>
      <c r="H51" s="304">
        <f>D51+F51+G51</f>
        <v>80800</v>
      </c>
      <c r="I51" s="304" t="str">
        <f>ROUNDUP(H51/D$11,1)&amp;"$/SF"</f>
        <v>46.3$/SF</v>
      </c>
      <c r="J51" s="300"/>
      <c r="K51" s="157" t="s">
        <v>1000</v>
      </c>
      <c r="L51" s="157" t="s">
        <v>1017</v>
      </c>
      <c r="M51" s="157" t="s">
        <v>1050</v>
      </c>
    </row>
    <row r="52" spans="1:13" x14ac:dyDescent="0.2">
      <c r="A52" s="305"/>
      <c r="B52" s="258"/>
      <c r="C52" s="254"/>
      <c r="D52" s="255"/>
      <c r="E52" s="256"/>
      <c r="F52" s="303"/>
      <c r="G52" s="303"/>
      <c r="H52" s="304"/>
      <c r="I52" s="304"/>
      <c r="J52" s="300"/>
    </row>
    <row r="53" spans="1:13" ht="15.75" x14ac:dyDescent="0.25">
      <c r="A53" s="302" t="s">
        <v>486</v>
      </c>
      <c r="B53" s="253" t="s">
        <v>487</v>
      </c>
      <c r="C53" s="254">
        <f>H53/D$66</f>
        <v>0</v>
      </c>
      <c r="D53" s="255">
        <f>SUM('27'!F99:F100)</f>
        <v>0</v>
      </c>
      <c r="E53" s="256">
        <f>SUM('27'!G99:G100)</f>
        <v>0</v>
      </c>
      <c r="F53" s="303">
        <f>SUM('27'!I99:I100)</f>
        <v>0</v>
      </c>
      <c r="G53" s="303">
        <f>SUM('27'!J99:J100)</f>
        <v>0</v>
      </c>
      <c r="H53" s="304">
        <f>D53+F53+G53</f>
        <v>0</v>
      </c>
      <c r="I53" s="304" t="str">
        <f>ROUNDUP(H53/D$11,1)&amp;"$/SF"</f>
        <v>0$/SF</v>
      </c>
      <c r="J53" s="300"/>
      <c r="K53" s="157" t="s">
        <v>989</v>
      </c>
      <c r="L53" s="157" t="s">
        <v>989</v>
      </c>
      <c r="M53" s="157" t="s">
        <v>1051</v>
      </c>
    </row>
    <row r="54" spans="1:13" x14ac:dyDescent="0.2">
      <c r="A54" s="305"/>
      <c r="B54" s="258"/>
      <c r="C54" s="254"/>
      <c r="D54" s="255"/>
      <c r="E54" s="256"/>
      <c r="F54" s="303"/>
      <c r="G54" s="303"/>
      <c r="H54" s="304"/>
      <c r="I54" s="304"/>
      <c r="J54" s="300"/>
    </row>
    <row r="55" spans="1:13" ht="15.75" x14ac:dyDescent="0.25">
      <c r="A55" s="302" t="s">
        <v>502</v>
      </c>
      <c r="B55" s="253" t="s">
        <v>503</v>
      </c>
      <c r="C55" s="254">
        <f>H55/D$66</f>
        <v>0</v>
      </c>
      <c r="D55" s="255">
        <f>SUM('28'!F55:F56)</f>
        <v>0</v>
      </c>
      <c r="E55" s="256">
        <f>SUM('28'!G55:G56)</f>
        <v>0</v>
      </c>
      <c r="F55" s="303">
        <f>SUM('28'!I55:I56)</f>
        <v>0</v>
      </c>
      <c r="G55" s="303">
        <f>SUM('28'!J55:J56)</f>
        <v>0</v>
      </c>
      <c r="H55" s="304">
        <f>D55+F55+G55</f>
        <v>0</v>
      </c>
      <c r="I55" s="304" t="str">
        <f>ROUNDUP(H55/D$11,1)&amp;"$/SF"</f>
        <v>0$/SF</v>
      </c>
      <c r="J55" s="300"/>
      <c r="K55" s="157" t="s">
        <v>989</v>
      </c>
      <c r="L55" s="157" t="s">
        <v>989</v>
      </c>
      <c r="M55" s="157" t="s">
        <v>989</v>
      </c>
    </row>
    <row r="56" spans="1:13" x14ac:dyDescent="0.2">
      <c r="A56" s="305"/>
      <c r="B56" s="258"/>
      <c r="C56" s="254"/>
      <c r="D56" s="255"/>
      <c r="E56" s="256"/>
      <c r="F56" s="303"/>
      <c r="G56" s="303"/>
      <c r="H56" s="304"/>
      <c r="I56" s="304"/>
      <c r="J56" s="300"/>
    </row>
    <row r="57" spans="1:13" ht="15.75" x14ac:dyDescent="0.25">
      <c r="A57" s="302" t="s">
        <v>516</v>
      </c>
      <c r="B57" s="253" t="s">
        <v>517</v>
      </c>
      <c r="C57" s="254">
        <f>H57/D$66</f>
        <v>0</v>
      </c>
      <c r="D57" s="255">
        <f>SUM('31'!F69:F70)</f>
        <v>0</v>
      </c>
      <c r="E57" s="256">
        <f>SUM('31'!G69:G70)</f>
        <v>0</v>
      </c>
      <c r="F57" s="303">
        <f>SUM('31'!I69:I70)</f>
        <v>0</v>
      </c>
      <c r="G57" s="303">
        <f>SUM('31'!J69:J70)</f>
        <v>0</v>
      </c>
      <c r="H57" s="304">
        <f>D57+F57+G57</f>
        <v>0</v>
      </c>
      <c r="I57" s="304" t="str">
        <f>ROUNDUP(H57/D$11,1)&amp;"$/SF"</f>
        <v>0$/SF</v>
      </c>
      <c r="J57" s="300"/>
      <c r="K57" s="157" t="s">
        <v>1001</v>
      </c>
      <c r="L57" s="157" t="s">
        <v>1018</v>
      </c>
      <c r="M57" s="157" t="s">
        <v>989</v>
      </c>
    </row>
    <row r="58" spans="1:13" x14ac:dyDescent="0.2">
      <c r="A58" s="305"/>
      <c r="B58" s="258"/>
      <c r="C58" s="254"/>
      <c r="D58" s="255"/>
      <c r="E58" s="256"/>
      <c r="F58" s="303"/>
      <c r="G58" s="303"/>
      <c r="H58" s="304"/>
      <c r="I58" s="304"/>
      <c r="J58" s="300"/>
    </row>
    <row r="59" spans="1:13" ht="15.75" x14ac:dyDescent="0.25">
      <c r="A59" s="302" t="s">
        <v>561</v>
      </c>
      <c r="B59" s="253" t="s">
        <v>562</v>
      </c>
      <c r="C59" s="254">
        <f>H59/D$66</f>
        <v>0</v>
      </c>
      <c r="D59" s="255">
        <f>SUM('32'!F97:F98)</f>
        <v>0</v>
      </c>
      <c r="E59" s="256">
        <f>SUM('32'!G97:G98)</f>
        <v>0</v>
      </c>
      <c r="F59" s="303">
        <f>SUM('32'!I97:I98)</f>
        <v>0</v>
      </c>
      <c r="G59" s="303">
        <f>SUM('32'!J97:J98)</f>
        <v>0</v>
      </c>
      <c r="H59" s="304">
        <f>D59+F59+G59</f>
        <v>0</v>
      </c>
      <c r="I59" s="304" t="str">
        <f>ROUNDUP(H59/D$11,1)&amp;"$/SF"</f>
        <v>0$/SF</v>
      </c>
      <c r="J59" s="300"/>
      <c r="K59" s="157" t="s">
        <v>1002</v>
      </c>
      <c r="L59" s="157" t="s">
        <v>1019</v>
      </c>
      <c r="M59" s="157" t="s">
        <v>989</v>
      </c>
    </row>
    <row r="60" spans="1:13" x14ac:dyDescent="0.2">
      <c r="A60" s="305"/>
      <c r="B60" s="258"/>
      <c r="C60" s="254"/>
      <c r="D60" s="255"/>
      <c r="E60" s="256"/>
      <c r="F60" s="303"/>
      <c r="G60" s="303"/>
      <c r="H60" s="304"/>
      <c r="I60" s="304"/>
      <c r="J60" s="300"/>
    </row>
    <row r="61" spans="1:13" ht="15.75" x14ac:dyDescent="0.25">
      <c r="A61" s="302" t="s">
        <v>612</v>
      </c>
      <c r="B61" s="253" t="s">
        <v>613</v>
      </c>
      <c r="C61" s="254">
        <f>H61/D$66</f>
        <v>0</v>
      </c>
      <c r="D61" s="255">
        <f>SUM('33'!F57:F58)</f>
        <v>0</v>
      </c>
      <c r="E61" s="256">
        <f>SUM('33'!G57:G58)</f>
        <v>0</v>
      </c>
      <c r="F61" s="303">
        <f>SUM('33'!I57:I58)</f>
        <v>0</v>
      </c>
      <c r="G61" s="303">
        <f>SUM('33'!J57:J58)</f>
        <v>0</v>
      </c>
      <c r="H61" s="304">
        <f>D61+F61+G61</f>
        <v>0</v>
      </c>
      <c r="I61" s="304" t="str">
        <f>ROUNDUP(H61/D$11,1)&amp;"$/SF"</f>
        <v>0$/SF</v>
      </c>
      <c r="J61" s="300"/>
      <c r="K61" s="157" t="s">
        <v>989</v>
      </c>
      <c r="L61" s="157" t="s">
        <v>989</v>
      </c>
      <c r="M61" s="157" t="s">
        <v>989</v>
      </c>
    </row>
    <row r="62" spans="1:13" x14ac:dyDescent="0.2">
      <c r="A62" s="305"/>
      <c r="B62" s="258"/>
      <c r="C62" s="254"/>
      <c r="D62" s="255"/>
      <c r="E62" s="256"/>
      <c r="F62" s="303"/>
      <c r="G62" s="303"/>
      <c r="H62" s="304"/>
      <c r="I62" s="304"/>
      <c r="J62" s="300"/>
    </row>
    <row r="63" spans="1:13" ht="13.5" thickBot="1" x14ac:dyDescent="0.25">
      <c r="A63" s="305"/>
      <c r="C63" s="259"/>
      <c r="D63" s="306"/>
      <c r="E63" s="260"/>
      <c r="F63" s="306"/>
      <c r="G63" s="306"/>
      <c r="H63" s="307"/>
      <c r="I63" s="304"/>
      <c r="J63" s="300"/>
    </row>
    <row r="64" spans="1:13" ht="13.5" thickTop="1" x14ac:dyDescent="0.2">
      <c r="A64" s="305"/>
      <c r="B64" s="261" t="s">
        <v>11</v>
      </c>
      <c r="C64" s="262">
        <f t="shared" ref="C64:H64" si="0">SUM(C15:C63)</f>
        <v>1</v>
      </c>
      <c r="D64" s="259">
        <f t="shared" si="0"/>
        <v>25016.914752000001</v>
      </c>
      <c r="E64" s="256">
        <f t="shared" si="0"/>
        <v>144</v>
      </c>
      <c r="F64" s="259">
        <f t="shared" si="0"/>
        <v>62010</v>
      </c>
      <c r="G64" s="259">
        <f t="shared" si="0"/>
        <v>637719.33000000007</v>
      </c>
      <c r="H64" s="304">
        <f t="shared" si="0"/>
        <v>724746.24475199997</v>
      </c>
      <c r="I64" s="304" t="str">
        <f>ROUNDUP(H64/D$11,1)&amp;"$/SF"</f>
        <v>414.9$/SF</v>
      </c>
      <c r="J64" s="308"/>
      <c r="K64" s="157" t="s">
        <v>1003</v>
      </c>
      <c r="L64" s="157" t="s">
        <v>1020</v>
      </c>
      <c r="M64" s="157" t="s">
        <v>1052</v>
      </c>
    </row>
    <row r="65" spans="1:13" x14ac:dyDescent="0.2">
      <c r="A65" s="305"/>
      <c r="B65" s="261"/>
      <c r="C65" s="263"/>
      <c r="D65" s="259"/>
      <c r="F65" s="259"/>
      <c r="G65" s="259"/>
      <c r="J65" s="300"/>
      <c r="K65" s="264"/>
    </row>
    <row r="66" spans="1:13" x14ac:dyDescent="0.2">
      <c r="A66" s="305"/>
      <c r="B66" s="261" t="s">
        <v>15</v>
      </c>
      <c r="C66" s="265"/>
      <c r="D66" s="259">
        <f>D64+F64+G64</f>
        <v>724746.24475200009</v>
      </c>
      <c r="F66" s="290"/>
      <c r="G66" s="290"/>
      <c r="J66" s="300"/>
      <c r="K66" s="264"/>
    </row>
    <row r="67" spans="1:13" x14ac:dyDescent="0.2">
      <c r="A67" s="305"/>
      <c r="B67" s="266"/>
      <c r="C67" s="265"/>
      <c r="D67" s="290"/>
      <c r="F67" s="290"/>
      <c r="G67" s="267"/>
      <c r="J67" s="300"/>
      <c r="K67" s="264"/>
    </row>
    <row r="68" spans="1:13" x14ac:dyDescent="0.2">
      <c r="A68" s="305"/>
      <c r="B68" s="261" t="s">
        <v>16</v>
      </c>
      <c r="C68" s="265"/>
      <c r="D68" s="259">
        <f>(D66*E68)</f>
        <v>36237.312237600003</v>
      </c>
      <c r="E68" s="268">
        <v>0.05</v>
      </c>
      <c r="F68" s="290"/>
      <c r="G68" s="290"/>
      <c r="J68" s="300"/>
      <c r="K68" s="264"/>
    </row>
    <row r="69" spans="1:13" x14ac:dyDescent="0.2">
      <c r="A69" s="305"/>
      <c r="C69" s="263"/>
      <c r="D69" s="290"/>
      <c r="F69" s="269" t="s">
        <v>39</v>
      </c>
      <c r="G69" s="269" t="s">
        <v>31</v>
      </c>
      <c r="J69" s="300"/>
      <c r="K69" s="264"/>
    </row>
    <row r="70" spans="1:13" x14ac:dyDescent="0.2">
      <c r="A70" s="305"/>
      <c r="C70" s="263"/>
      <c r="D70" s="290"/>
      <c r="F70" s="270">
        <v>0.15</v>
      </c>
      <c r="G70" s="271"/>
      <c r="J70" s="300"/>
      <c r="K70" s="264"/>
    </row>
    <row r="71" spans="1:13" x14ac:dyDescent="0.2">
      <c r="A71" s="305"/>
      <c r="B71" s="272" t="s">
        <v>17</v>
      </c>
      <c r="C71" s="273"/>
      <c r="D71" s="303">
        <f>D68+D66</f>
        <v>760983.55698960007</v>
      </c>
      <c r="F71" s="309">
        <f>D71*F70</f>
        <v>114147.53354844001</v>
      </c>
      <c r="G71" s="309">
        <f>D71+F71</f>
        <v>875131.09053804004</v>
      </c>
      <c r="J71" s="300"/>
      <c r="K71" s="264"/>
    </row>
    <row r="72" spans="1:13" x14ac:dyDescent="0.2">
      <c r="A72" s="305"/>
      <c r="B72" s="272"/>
      <c r="C72" s="273"/>
      <c r="D72" s="303"/>
      <c r="F72" s="290"/>
      <c r="G72" s="290"/>
      <c r="J72" s="300"/>
      <c r="K72" s="264"/>
    </row>
    <row r="73" spans="1:13" x14ac:dyDescent="0.2">
      <c r="A73" s="305"/>
      <c r="B73" s="272" t="s">
        <v>1075</v>
      </c>
      <c r="C73" s="875">
        <v>0.1</v>
      </c>
      <c r="D73" s="303"/>
      <c r="F73" s="290"/>
      <c r="G73" s="290"/>
      <c r="J73" s="300"/>
      <c r="K73" s="264"/>
    </row>
    <row r="74" spans="1:13" x14ac:dyDescent="0.2">
      <c r="A74" s="305"/>
      <c r="B74" s="272"/>
      <c r="C74" s="273"/>
      <c r="D74" s="303"/>
      <c r="F74" s="269" t="s">
        <v>39</v>
      </c>
      <c r="G74" s="269" t="s">
        <v>31</v>
      </c>
      <c r="J74" s="300"/>
      <c r="K74" s="264"/>
    </row>
    <row r="75" spans="1:13" x14ac:dyDescent="0.2">
      <c r="A75" s="305"/>
      <c r="B75" s="272" t="s">
        <v>82</v>
      </c>
      <c r="C75" s="273"/>
      <c r="D75" s="310">
        <f>D71+D73</f>
        <v>760983.55698960007</v>
      </c>
      <c r="F75" s="309">
        <f>D75*F70</f>
        <v>114147.53354844001</v>
      </c>
      <c r="G75" s="309">
        <f>D75+F75</f>
        <v>875131.09053804004</v>
      </c>
      <c r="J75" s="300"/>
      <c r="K75" s="264"/>
    </row>
    <row r="76" spans="1:13" x14ac:dyDescent="0.2">
      <c r="A76" s="305"/>
      <c r="B76" s="272"/>
      <c r="C76" s="273"/>
      <c r="D76" s="303"/>
      <c r="F76" s="290"/>
      <c r="G76" s="290"/>
      <c r="J76" s="300"/>
      <c r="K76" s="264"/>
    </row>
    <row r="77" spans="1:13" x14ac:dyDescent="0.2">
      <c r="A77" s="305"/>
      <c r="B77" s="272"/>
      <c r="C77" s="273"/>
      <c r="D77" s="311">
        <f>D71/D11</f>
        <v>435.59448024590733</v>
      </c>
      <c r="E77" s="274" t="s">
        <v>36</v>
      </c>
      <c r="F77" s="290"/>
      <c r="G77" s="290"/>
      <c r="J77" s="300"/>
      <c r="K77" s="264"/>
    </row>
    <row r="78" spans="1:13" ht="6" customHeight="1" thickBot="1" x14ac:dyDescent="0.25">
      <c r="A78" s="312"/>
      <c r="B78" s="313"/>
      <c r="C78" s="275"/>
      <c r="D78" s="313"/>
      <c r="E78" s="313"/>
      <c r="F78" s="314"/>
      <c r="G78" s="314"/>
      <c r="H78" s="313"/>
      <c r="I78" s="315"/>
      <c r="J78" s="300"/>
      <c r="K78" s="264"/>
    </row>
    <row r="79" spans="1:13" ht="13.5" thickTop="1" x14ac:dyDescent="0.2">
      <c r="D79" s="277"/>
      <c r="K79" s="317"/>
      <c r="L79" s="946"/>
      <c r="M79" s="946"/>
    </row>
    <row r="80" spans="1:13" x14ac:dyDescent="0.2">
      <c r="A80" s="318"/>
      <c r="B80" s="319"/>
      <c r="C80" s="279"/>
      <c r="D80" s="320"/>
      <c r="E80" s="280"/>
      <c r="F80" s="320"/>
      <c r="G80" s="320"/>
      <c r="H80" s="319"/>
      <c r="I80" s="317" t="s">
        <v>738</v>
      </c>
      <c r="K80" s="158" t="s">
        <v>1005</v>
      </c>
      <c r="L80" s="158" t="s">
        <v>1023</v>
      </c>
      <c r="M80" s="158" t="s">
        <v>1054</v>
      </c>
    </row>
    <row r="81" spans="1:13" x14ac:dyDescent="0.2">
      <c r="A81" s="319"/>
      <c r="B81" s="319"/>
      <c r="C81" s="279" t="s">
        <v>71</v>
      </c>
      <c r="D81" s="321">
        <v>13</v>
      </c>
      <c r="E81" s="280" t="s">
        <v>72</v>
      </c>
      <c r="F81" s="320"/>
      <c r="G81" s="157" t="s">
        <v>84</v>
      </c>
      <c r="H81" s="157" t="s">
        <v>86</v>
      </c>
      <c r="I81" s="317" t="s">
        <v>71</v>
      </c>
      <c r="K81" s="158">
        <v>22</v>
      </c>
      <c r="L81" s="158">
        <v>26</v>
      </c>
      <c r="M81" s="158">
        <v>13</v>
      </c>
    </row>
    <row r="82" spans="1:13" x14ac:dyDescent="0.2">
      <c r="A82" s="319"/>
      <c r="B82" s="319"/>
      <c r="C82" s="279" t="s">
        <v>83</v>
      </c>
      <c r="D82" s="320">
        <f>D68+'1'!K14+'1'!K93+'1'!K38+'1'!K103+'1'!K35+'1'!K11</f>
        <v>95539.7399</v>
      </c>
      <c r="E82" s="280">
        <f>D82/D81</f>
        <v>7349.2107615384612</v>
      </c>
      <c r="F82" s="320"/>
      <c r="G82" s="157" t="s">
        <v>87</v>
      </c>
      <c r="H82" s="281">
        <v>0.1</v>
      </c>
      <c r="I82" s="281" t="s">
        <v>85</v>
      </c>
      <c r="K82" s="833">
        <v>0.1076</v>
      </c>
      <c r="L82" s="836">
        <v>8.0600000000000005E-2</v>
      </c>
      <c r="M82" s="836">
        <v>0.13919999999999999</v>
      </c>
    </row>
    <row r="83" spans="1:13" x14ac:dyDescent="0.2">
      <c r="A83" s="319"/>
      <c r="B83" s="319"/>
      <c r="C83" s="279"/>
      <c r="D83" s="320"/>
      <c r="E83" s="280"/>
      <c r="F83" s="320"/>
      <c r="G83" s="157" t="s">
        <v>88</v>
      </c>
      <c r="H83" s="281">
        <v>0.15</v>
      </c>
      <c r="I83" s="281"/>
      <c r="K83" s="317"/>
      <c r="L83" s="946"/>
      <c r="M83" s="946"/>
    </row>
    <row r="84" spans="1:13" x14ac:dyDescent="0.2">
      <c r="A84" s="319"/>
      <c r="B84" s="319"/>
      <c r="C84" s="279" t="s">
        <v>85</v>
      </c>
      <c r="D84" s="323">
        <f>D82/D71</f>
        <v>0.12554770602133483</v>
      </c>
      <c r="E84" s="280"/>
      <c r="F84" s="320"/>
      <c r="G84" s="157" t="s">
        <v>89</v>
      </c>
      <c r="H84" s="281">
        <v>0.2</v>
      </c>
      <c r="I84" s="868" t="s">
        <v>1022</v>
      </c>
      <c r="K84" s="834">
        <v>4.4999999999999998E-2</v>
      </c>
      <c r="L84" s="835">
        <v>0.05</v>
      </c>
      <c r="M84" s="835">
        <v>0.05</v>
      </c>
    </row>
    <row r="85" spans="1:13" x14ac:dyDescent="0.2">
      <c r="A85" s="319"/>
      <c r="B85" s="319"/>
      <c r="C85" s="279" t="s">
        <v>741</v>
      </c>
      <c r="D85" s="320">
        <f>D75*E85</f>
        <v>7609.8355698960004</v>
      </c>
      <c r="E85" s="282">
        <v>0.01</v>
      </c>
      <c r="F85" s="320"/>
      <c r="G85" s="157" t="s">
        <v>90</v>
      </c>
      <c r="H85" s="281">
        <v>0.25</v>
      </c>
      <c r="I85" s="281"/>
      <c r="K85" s="317"/>
      <c r="L85" s="946"/>
      <c r="M85" s="946"/>
    </row>
    <row r="86" spans="1:13" x14ac:dyDescent="0.2">
      <c r="B86" s="283"/>
      <c r="C86" s="279" t="s">
        <v>742</v>
      </c>
      <c r="D86" s="284">
        <f>D75*E86</f>
        <v>38049.177849480002</v>
      </c>
      <c r="E86" s="285">
        <v>0.05</v>
      </c>
      <c r="F86" s="283"/>
      <c r="G86" s="157"/>
      <c r="K86" s="286"/>
      <c r="M86" s="159"/>
    </row>
    <row r="87" spans="1:13" x14ac:dyDescent="0.2">
      <c r="A87" s="287" t="s">
        <v>99</v>
      </c>
      <c r="B87" s="157">
        <f>COUNTIF(A88:A96,"*")</f>
        <v>0</v>
      </c>
      <c r="C87" s="159"/>
      <c r="D87" s="157"/>
      <c r="E87" s="157"/>
      <c r="F87" s="157"/>
      <c r="G87" s="157"/>
      <c r="K87" s="286"/>
      <c r="M87" s="159"/>
    </row>
    <row r="88" spans="1:13" x14ac:dyDescent="0.2">
      <c r="C88" s="159"/>
      <c r="D88" s="157"/>
      <c r="E88" s="157"/>
      <c r="F88" s="157"/>
      <c r="G88" s="157"/>
      <c r="K88" s="286"/>
      <c r="M88" s="159"/>
    </row>
    <row r="89" spans="1:13" x14ac:dyDescent="0.2">
      <c r="C89" s="159"/>
      <c r="D89" s="157"/>
      <c r="E89" s="157"/>
      <c r="F89" s="157"/>
      <c r="G89" s="157"/>
      <c r="K89" s="286"/>
      <c r="M89" s="159"/>
    </row>
    <row r="90" spans="1:13" x14ac:dyDescent="0.2">
      <c r="C90" s="159"/>
      <c r="D90" s="157"/>
      <c r="E90" s="157"/>
      <c r="F90" s="157"/>
      <c r="G90" s="157"/>
      <c r="K90" s="286"/>
      <c r="M90" s="159"/>
    </row>
    <row r="91" spans="1:13" x14ac:dyDescent="0.2">
      <c r="C91" s="159"/>
      <c r="D91" s="157"/>
      <c r="E91" s="157"/>
      <c r="F91" s="157"/>
      <c r="G91" s="157"/>
      <c r="K91" s="286"/>
      <c r="M91" s="159"/>
    </row>
    <row r="92" spans="1:13" x14ac:dyDescent="0.2">
      <c r="C92" s="159"/>
      <c r="D92" s="157"/>
      <c r="E92" s="157"/>
      <c r="F92" s="157"/>
      <c r="G92" s="157"/>
      <c r="K92" s="286"/>
      <c r="M92" s="159"/>
    </row>
    <row r="93" spans="1:13" x14ac:dyDescent="0.2">
      <c r="C93" s="159"/>
      <c r="D93" s="157"/>
      <c r="E93" s="157"/>
      <c r="F93" s="157"/>
      <c r="G93" s="157"/>
      <c r="K93" s="286"/>
      <c r="M93" s="159"/>
    </row>
    <row r="94" spans="1:13" x14ac:dyDescent="0.2">
      <c r="C94" s="159"/>
      <c r="D94" s="157"/>
      <c r="E94" s="157"/>
      <c r="F94" s="157"/>
      <c r="G94" s="157"/>
      <c r="K94" s="286"/>
      <c r="M94" s="159"/>
    </row>
    <row r="95" spans="1:13" x14ac:dyDescent="0.2">
      <c r="C95" s="159"/>
      <c r="D95" s="157"/>
      <c r="E95" s="157"/>
      <c r="F95" s="157"/>
      <c r="G95" s="157"/>
      <c r="K95" s="286"/>
      <c r="M95" s="159"/>
    </row>
    <row r="96" spans="1:13" x14ac:dyDescent="0.2">
      <c r="C96" s="159"/>
      <c r="D96" s="157"/>
      <c r="E96" s="157"/>
      <c r="F96" s="157"/>
      <c r="G96" s="157"/>
      <c r="K96" s="286"/>
      <c r="M96" s="159"/>
    </row>
    <row r="97" spans="3:13" x14ac:dyDescent="0.2">
      <c r="C97" s="159"/>
      <c r="D97" s="157"/>
      <c r="E97" s="157"/>
      <c r="F97" s="157"/>
      <c r="G97" s="157"/>
      <c r="K97" s="286"/>
      <c r="M97" s="159"/>
    </row>
    <row r="98" spans="3:13" x14ac:dyDescent="0.2">
      <c r="C98" s="159"/>
      <c r="D98" s="157"/>
      <c r="E98" s="157"/>
      <c r="F98" s="157"/>
      <c r="G98" s="157"/>
      <c r="K98" s="286"/>
      <c r="M98" s="159"/>
    </row>
    <row r="99" spans="3:13" x14ac:dyDescent="0.2">
      <c r="C99" s="159"/>
      <c r="D99" s="157"/>
      <c r="E99" s="157"/>
      <c r="F99" s="157"/>
      <c r="G99" s="157"/>
      <c r="K99" s="286"/>
      <c r="M99" s="159"/>
    </row>
    <row r="100" spans="3:13" x14ac:dyDescent="0.2">
      <c r="C100" s="159"/>
      <c r="D100" s="157"/>
      <c r="E100" s="157"/>
      <c r="F100" s="157"/>
      <c r="G100" s="157"/>
      <c r="K100" s="286"/>
      <c r="M100" s="159"/>
    </row>
    <row r="101" spans="3:13" x14ac:dyDescent="0.2">
      <c r="C101" s="159"/>
      <c r="D101" s="157"/>
      <c r="E101" s="157"/>
      <c r="F101" s="157"/>
      <c r="G101" s="157"/>
      <c r="K101" s="286"/>
      <c r="M101" s="159"/>
    </row>
    <row r="102" spans="3:13" x14ac:dyDescent="0.2">
      <c r="C102" s="159"/>
      <c r="D102" s="157"/>
      <c r="E102" s="157"/>
      <c r="F102" s="157"/>
      <c r="G102" s="157"/>
      <c r="K102" s="286"/>
      <c r="M102" s="159"/>
    </row>
    <row r="103" spans="3:13" x14ac:dyDescent="0.2">
      <c r="C103" s="159"/>
      <c r="D103" s="157"/>
      <c r="E103" s="157"/>
      <c r="F103" s="157"/>
      <c r="G103" s="157"/>
      <c r="K103" s="286"/>
      <c r="M103" s="159"/>
    </row>
    <row r="104" spans="3:13" x14ac:dyDescent="0.2">
      <c r="C104" s="159"/>
      <c r="D104" s="157"/>
      <c r="E104" s="157"/>
      <c r="F104" s="157"/>
      <c r="G104" s="157"/>
      <c r="K104" s="286"/>
      <c r="M104" s="159"/>
    </row>
    <row r="105" spans="3:13" x14ac:dyDescent="0.2">
      <c r="C105" s="159"/>
      <c r="D105" s="157"/>
      <c r="E105" s="157"/>
      <c r="F105" s="157"/>
      <c r="G105" s="157"/>
      <c r="K105" s="286"/>
      <c r="M105" s="159"/>
    </row>
    <row r="106" spans="3:13" x14ac:dyDescent="0.2">
      <c r="C106" s="159"/>
      <c r="D106" s="157"/>
      <c r="E106" s="157"/>
      <c r="F106" s="157"/>
      <c r="G106" s="157"/>
      <c r="K106" s="286"/>
      <c r="M106" s="159"/>
    </row>
    <row r="107" spans="3:13" x14ac:dyDescent="0.2">
      <c r="C107" s="159"/>
      <c r="D107" s="157"/>
      <c r="E107" s="157"/>
      <c r="F107" s="157"/>
      <c r="G107" s="157"/>
      <c r="K107" s="286"/>
      <c r="M107" s="159"/>
    </row>
    <row r="108" spans="3:13" x14ac:dyDescent="0.2">
      <c r="C108" s="159"/>
      <c r="D108" s="157"/>
      <c r="E108" s="157"/>
      <c r="F108" s="157"/>
      <c r="G108" s="157"/>
      <c r="K108" s="286"/>
      <c r="M108" s="159"/>
    </row>
    <row r="109" spans="3:13" x14ac:dyDescent="0.2">
      <c r="C109" s="159"/>
      <c r="D109" s="157"/>
      <c r="E109" s="157"/>
      <c r="F109" s="157"/>
      <c r="G109" s="157"/>
      <c r="K109" s="286"/>
      <c r="M109" s="159"/>
    </row>
    <row r="110" spans="3:13" x14ac:dyDescent="0.2">
      <c r="C110" s="159"/>
      <c r="D110" s="157"/>
      <c r="E110" s="157"/>
      <c r="F110" s="157"/>
      <c r="G110" s="157"/>
      <c r="K110" s="286"/>
      <c r="M110" s="159"/>
    </row>
    <row r="111" spans="3:13" x14ac:dyDescent="0.2">
      <c r="C111" s="159"/>
      <c r="D111" s="157"/>
      <c r="E111" s="157"/>
      <c r="F111" s="157"/>
      <c r="G111" s="157"/>
      <c r="K111" s="286"/>
      <c r="M111" s="159"/>
    </row>
  </sheetData>
  <mergeCells count="14">
    <mergeCell ref="L79:M79"/>
    <mergeCell ref="H13:H14"/>
    <mergeCell ref="L85:M85"/>
    <mergeCell ref="L83:M83"/>
    <mergeCell ref="K13:K14"/>
    <mergeCell ref="A2:H2"/>
    <mergeCell ref="B13:B14"/>
    <mergeCell ref="A13:A14"/>
    <mergeCell ref="F9:G10"/>
    <mergeCell ref="A9:B9"/>
    <mergeCell ref="G13:G14"/>
    <mergeCell ref="F13:F14"/>
    <mergeCell ref="E13:E14"/>
    <mergeCell ref="D13:D14"/>
  </mergeCells>
  <phoneticPr fontId="5" type="noConversion"/>
  <printOptions horizontalCentered="1"/>
  <pageMargins left="0.7" right="0.7" top="0.75" bottom="0.75" header="0.5" footer="0.5"/>
  <pageSetup scale="49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pageSetUpPr fitToPage="1"/>
  </sheetPr>
  <dimension ref="A1:AA184"/>
  <sheetViews>
    <sheetView topLeftCell="A112" zoomScaleNormal="75" zoomScaleSheetLayoutView="90" zoomScalePageLayoutView="75" workbookViewId="0">
      <selection activeCell="E123" sqref="E123"/>
    </sheetView>
  </sheetViews>
  <sheetFormatPr defaultColWidth="9.140625" defaultRowHeight="12.75" x14ac:dyDescent="0.2"/>
  <cols>
    <col min="1" max="1" width="12.140625" style="157" customWidth="1"/>
    <col min="2" max="2" width="48.85546875" style="157" customWidth="1"/>
    <col min="3" max="3" width="13" style="442" customWidth="1"/>
    <col min="4" max="4" width="9" style="442" customWidth="1"/>
    <col min="5" max="5" width="12" style="157" customWidth="1"/>
    <col min="6" max="6" width="12.5703125" style="157" customWidth="1"/>
    <col min="7" max="7" width="11.140625" style="157" customWidth="1"/>
    <col min="8" max="8" width="11.42578125" style="157" customWidth="1"/>
    <col min="9" max="9" width="12.5703125" style="157" customWidth="1"/>
    <col min="10" max="10" width="16.140625" style="157" customWidth="1"/>
    <col min="11" max="11" width="14.42578125" style="157" customWidth="1"/>
    <col min="12" max="12" width="26.85546875" style="159" customWidth="1"/>
    <col min="13" max="13" width="17.42578125" style="278" customWidth="1"/>
    <col min="14" max="14" width="25.140625" style="157" customWidth="1"/>
    <col min="15" max="15" width="23.85546875" style="304" customWidth="1"/>
    <col min="16" max="16" width="27.42578125" style="304" customWidth="1"/>
    <col min="17" max="17" width="30.85546875" style="157" customWidth="1"/>
    <col min="18" max="16384" width="9.140625" style="157"/>
  </cols>
  <sheetData>
    <row r="1" spans="1:2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27" ht="13.5" thickBot="1" x14ac:dyDescent="0.25">
      <c r="A2" s="326"/>
      <c r="B2" s="327"/>
      <c r="C2" s="328"/>
      <c r="D2" s="993"/>
      <c r="E2" s="993"/>
      <c r="F2" s="993"/>
      <c r="G2" s="328"/>
      <c r="H2" s="329"/>
      <c r="I2" s="330"/>
      <c r="J2" s="331"/>
      <c r="K2" s="332"/>
    </row>
    <row r="3" spans="1:27" ht="16.5" thickBot="1" x14ac:dyDescent="0.3">
      <c r="A3" s="982"/>
      <c r="B3" s="983"/>
      <c r="C3" s="328"/>
      <c r="D3" s="993"/>
      <c r="E3" s="993"/>
      <c r="F3" s="993"/>
      <c r="G3" s="333"/>
      <c r="H3" s="334"/>
      <c r="I3" s="335"/>
      <c r="J3" s="335"/>
      <c r="K3" s="336"/>
      <c r="L3" s="984"/>
      <c r="M3" s="984"/>
      <c r="N3" s="994"/>
      <c r="O3" s="994"/>
      <c r="P3" s="946"/>
    </row>
    <row r="4" spans="1:27" ht="12.95" customHeight="1" thickBot="1" x14ac:dyDescent="0.25">
      <c r="A4" s="982"/>
      <c r="B4" s="983"/>
      <c r="C4" s="328"/>
      <c r="D4" s="993"/>
      <c r="E4" s="993"/>
      <c r="F4" s="993"/>
      <c r="G4" s="337"/>
      <c r="H4" s="338"/>
      <c r="I4" s="330"/>
      <c r="J4" s="331"/>
      <c r="K4" s="332"/>
      <c r="L4" s="984"/>
      <c r="M4" s="984"/>
      <c r="N4" s="994"/>
      <c r="O4" s="994"/>
      <c r="P4" s="946"/>
    </row>
    <row r="5" spans="1:27" ht="21" thickBot="1" x14ac:dyDescent="0.3">
      <c r="A5" s="339"/>
      <c r="B5" s="340"/>
      <c r="C5" s="341"/>
      <c r="D5" s="342"/>
      <c r="E5" s="343"/>
      <c r="F5" s="338"/>
      <c r="G5" s="992" t="s">
        <v>3</v>
      </c>
      <c r="H5" s="992"/>
      <c r="I5" s="992"/>
      <c r="J5" s="990" t="s">
        <v>71</v>
      </c>
      <c r="K5" s="991"/>
      <c r="L5" s="984"/>
      <c r="M5" s="984"/>
      <c r="N5" s="994"/>
      <c r="O5" s="994"/>
      <c r="P5" s="946"/>
    </row>
    <row r="6" spans="1:27" ht="21" thickBot="1" x14ac:dyDescent="0.25">
      <c r="A6" s="339"/>
      <c r="B6" s="340"/>
      <c r="C6" s="344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'Estimate Summary'!D81</f>
        <v>13</v>
      </c>
      <c r="K6" s="332" t="s">
        <v>72</v>
      </c>
      <c r="L6" s="984"/>
      <c r="M6" s="984"/>
      <c r="N6" s="994"/>
      <c r="O6" s="994"/>
      <c r="P6" s="946"/>
    </row>
    <row r="7" spans="1:2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2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M8" s="352"/>
      <c r="N8" s="353"/>
      <c r="O8" s="354"/>
      <c r="P8" s="354"/>
    </row>
    <row r="9" spans="1:2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358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27" ht="15.75" x14ac:dyDescent="0.25">
      <c r="A10" s="359" t="s">
        <v>101</v>
      </c>
      <c r="B10" s="360" t="s">
        <v>100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365" t="s">
        <v>14</v>
      </c>
      <c r="H10" s="363" t="s">
        <v>35</v>
      </c>
      <c r="I10" s="364" t="s">
        <v>30</v>
      </c>
      <c r="J10" s="366" t="s">
        <v>659</v>
      </c>
      <c r="K10" s="367" t="s">
        <v>38</v>
      </c>
      <c r="L10" s="952"/>
      <c r="M10" s="954"/>
      <c r="N10" s="956"/>
      <c r="O10" s="958"/>
      <c r="P10" s="960"/>
      <c r="Q10" s="950"/>
      <c r="S10" s="368"/>
      <c r="T10" s="368"/>
      <c r="U10" s="369"/>
      <c r="V10" s="369"/>
      <c r="W10" s="370"/>
      <c r="X10" s="369"/>
      <c r="Y10" s="369"/>
      <c r="Z10" s="369"/>
      <c r="AA10" s="371"/>
    </row>
    <row r="11" spans="1:27" x14ac:dyDescent="0.2">
      <c r="A11" s="372" t="s">
        <v>644</v>
      </c>
      <c r="B11" s="5" t="s">
        <v>123</v>
      </c>
      <c r="C11" s="373"/>
      <c r="D11" s="374" t="s">
        <v>21</v>
      </c>
      <c r="E11" s="255">
        <v>0</v>
      </c>
      <c r="F11" s="375">
        <f>C11*E11</f>
        <v>0</v>
      </c>
      <c r="G11" s="376"/>
      <c r="H11" s="377">
        <v>0</v>
      </c>
      <c r="I11" s="375">
        <f>G11*H11</f>
        <v>0</v>
      </c>
      <c r="J11" s="378"/>
      <c r="K11" s="379">
        <f>F11+I11+J11</f>
        <v>0</v>
      </c>
      <c r="L11" s="380"/>
      <c r="M11" s="381"/>
      <c r="N11" s="382"/>
      <c r="O11" s="383"/>
      <c r="P11" s="384"/>
      <c r="Q11" s="385"/>
      <c r="S11" s="368"/>
      <c r="T11" s="368"/>
      <c r="U11" s="369"/>
      <c r="V11" s="369"/>
      <c r="W11" s="370"/>
      <c r="X11" s="369"/>
      <c r="Y11" s="369"/>
      <c r="Z11" s="369"/>
      <c r="AA11" s="371"/>
    </row>
    <row r="12" spans="1:27" x14ac:dyDescent="0.2">
      <c r="A12" s="372" t="s">
        <v>645</v>
      </c>
      <c r="B12" s="5" t="s">
        <v>116</v>
      </c>
      <c r="C12" s="373">
        <v>1</v>
      </c>
      <c r="D12" s="374" t="s">
        <v>21</v>
      </c>
      <c r="E12" s="255">
        <v>4500</v>
      </c>
      <c r="F12" s="375">
        <f t="shared" ref="F12:F22" si="0">C12*E12</f>
        <v>4500</v>
      </c>
      <c r="G12" s="376"/>
      <c r="H12" s="377">
        <v>0</v>
      </c>
      <c r="I12" s="375">
        <f t="shared" ref="I12:I22" si="1">G12*H12</f>
        <v>0</v>
      </c>
      <c r="J12" s="378"/>
      <c r="K12" s="379">
        <f t="shared" ref="K12:K22" si="2">F12+I12+J12</f>
        <v>4500</v>
      </c>
      <c r="L12" s="380"/>
      <c r="M12" s="381"/>
      <c r="N12" s="382"/>
      <c r="O12" s="383"/>
      <c r="P12" s="384"/>
      <c r="Q12" s="385"/>
    </row>
    <row r="13" spans="1:27" x14ac:dyDescent="0.2">
      <c r="A13" s="372" t="s">
        <v>648</v>
      </c>
      <c r="B13" s="5" t="s">
        <v>117</v>
      </c>
      <c r="C13" s="373"/>
      <c r="D13" s="374" t="s">
        <v>21</v>
      </c>
      <c r="E13" s="255">
        <v>0</v>
      </c>
      <c r="F13" s="375">
        <f t="shared" si="0"/>
        <v>0</v>
      </c>
      <c r="G13" s="376"/>
      <c r="H13" s="377">
        <v>0</v>
      </c>
      <c r="I13" s="375">
        <f t="shared" si="1"/>
        <v>0</v>
      </c>
      <c r="J13" s="378"/>
      <c r="K13" s="379">
        <f t="shared" si="2"/>
        <v>0</v>
      </c>
      <c r="L13" s="380"/>
      <c r="M13" s="381"/>
      <c r="N13" s="382"/>
      <c r="O13" s="383"/>
      <c r="P13" s="384"/>
      <c r="Q13" s="385"/>
    </row>
    <row r="14" spans="1:27" x14ac:dyDescent="0.2">
      <c r="A14" s="372" t="s">
        <v>646</v>
      </c>
      <c r="B14" s="5" t="s">
        <v>92</v>
      </c>
      <c r="C14" s="373"/>
      <c r="D14" s="374" t="s">
        <v>21</v>
      </c>
      <c r="E14" s="255">
        <v>0</v>
      </c>
      <c r="F14" s="375">
        <f t="shared" si="0"/>
        <v>0</v>
      </c>
      <c r="G14" s="376"/>
      <c r="H14" s="377">
        <v>0</v>
      </c>
      <c r="I14" s="375">
        <f t="shared" si="1"/>
        <v>0</v>
      </c>
      <c r="J14" s="378"/>
      <c r="K14" s="379">
        <f t="shared" si="2"/>
        <v>0</v>
      </c>
      <c r="L14" s="380"/>
      <c r="M14" s="381"/>
      <c r="N14" s="382"/>
      <c r="O14" s="383"/>
      <c r="P14" s="384"/>
      <c r="Q14" s="385"/>
    </row>
    <row r="15" spans="1:27" x14ac:dyDescent="0.2">
      <c r="A15" s="372" t="s">
        <v>647</v>
      </c>
      <c r="B15" s="6" t="s">
        <v>118</v>
      </c>
      <c r="C15" s="373"/>
      <c r="D15" s="374" t="s">
        <v>21</v>
      </c>
      <c r="E15" s="255">
        <v>0</v>
      </c>
      <c r="F15" s="375">
        <f t="shared" si="0"/>
        <v>0</v>
      </c>
      <c r="G15" s="376"/>
      <c r="H15" s="377">
        <v>0</v>
      </c>
      <c r="I15" s="375">
        <f t="shared" si="1"/>
        <v>0</v>
      </c>
      <c r="J15" s="378"/>
      <c r="K15" s="379">
        <f t="shared" si="2"/>
        <v>0</v>
      </c>
      <c r="L15" s="380"/>
      <c r="M15" s="381"/>
      <c r="N15" s="382"/>
      <c r="O15" s="383"/>
      <c r="P15" s="384"/>
      <c r="Q15" s="385"/>
    </row>
    <row r="16" spans="1:27" x14ac:dyDescent="0.2">
      <c r="A16" s="386" t="s">
        <v>649</v>
      </c>
      <c r="B16" s="5" t="s">
        <v>119</v>
      </c>
      <c r="C16" s="373"/>
      <c r="D16" s="374" t="s">
        <v>21</v>
      </c>
      <c r="E16" s="255">
        <v>0</v>
      </c>
      <c r="F16" s="375">
        <f t="shared" si="0"/>
        <v>0</v>
      </c>
      <c r="G16" s="376"/>
      <c r="H16" s="377">
        <v>0</v>
      </c>
      <c r="I16" s="375">
        <f t="shared" si="1"/>
        <v>0</v>
      </c>
      <c r="J16" s="378">
        <f>M16</f>
        <v>35000</v>
      </c>
      <c r="K16" s="379">
        <f t="shared" si="2"/>
        <v>35000</v>
      </c>
      <c r="L16" s="380" t="s">
        <v>1061</v>
      </c>
      <c r="M16" s="381">
        <v>35000</v>
      </c>
      <c r="N16" s="382" t="s">
        <v>1061</v>
      </c>
      <c r="O16" s="383"/>
      <c r="P16" s="384"/>
      <c r="Q16" s="385"/>
    </row>
    <row r="17" spans="1:26" x14ac:dyDescent="0.2">
      <c r="A17" s="386" t="s">
        <v>650</v>
      </c>
      <c r="B17" s="5" t="s">
        <v>120</v>
      </c>
      <c r="C17" s="373"/>
      <c r="D17" s="374" t="s">
        <v>21</v>
      </c>
      <c r="E17" s="255">
        <v>0</v>
      </c>
      <c r="F17" s="375">
        <f t="shared" si="0"/>
        <v>0</v>
      </c>
      <c r="G17" s="376"/>
      <c r="H17" s="377">
        <v>0</v>
      </c>
      <c r="I17" s="375">
        <f t="shared" si="1"/>
        <v>0</v>
      </c>
      <c r="J17" s="378"/>
      <c r="K17" s="379">
        <f t="shared" si="2"/>
        <v>0</v>
      </c>
      <c r="L17" s="380"/>
      <c r="M17" s="381"/>
      <c r="N17" s="382"/>
      <c r="O17" s="383"/>
      <c r="P17" s="384"/>
      <c r="Q17" s="385"/>
    </row>
    <row r="18" spans="1:26" x14ac:dyDescent="0.2">
      <c r="A18" s="386" t="s">
        <v>651</v>
      </c>
      <c r="B18" s="5" t="s">
        <v>121</v>
      </c>
      <c r="C18" s="373"/>
      <c r="D18" s="374" t="s">
        <v>21</v>
      </c>
      <c r="E18" s="255">
        <v>0</v>
      </c>
      <c r="F18" s="375">
        <f t="shared" si="0"/>
        <v>0</v>
      </c>
      <c r="G18" s="376"/>
      <c r="H18" s="377">
        <v>0</v>
      </c>
      <c r="I18" s="375">
        <f t="shared" si="1"/>
        <v>0</v>
      </c>
      <c r="J18" s="378"/>
      <c r="K18" s="379">
        <f t="shared" si="2"/>
        <v>0</v>
      </c>
      <c r="L18" s="380" t="s">
        <v>1059</v>
      </c>
      <c r="M18" s="381">
        <v>3500</v>
      </c>
      <c r="N18" s="382" t="s">
        <v>1060</v>
      </c>
      <c r="O18" s="383"/>
      <c r="P18" s="384"/>
      <c r="Q18" s="385"/>
    </row>
    <row r="19" spans="1:26" ht="15.75" x14ac:dyDescent="0.25">
      <c r="A19" s="386" t="s">
        <v>652</v>
      </c>
      <c r="B19" s="5" t="s">
        <v>42</v>
      </c>
      <c r="C19" s="373"/>
      <c r="D19" s="374" t="s">
        <v>21</v>
      </c>
      <c r="E19" s="255">
        <v>0</v>
      </c>
      <c r="F19" s="375">
        <f t="shared" si="0"/>
        <v>0</v>
      </c>
      <c r="G19" s="376"/>
      <c r="H19" s="377">
        <v>0</v>
      </c>
      <c r="I19" s="375">
        <f t="shared" si="1"/>
        <v>0</v>
      </c>
      <c r="J19" s="378">
        <f>M19</f>
        <v>13200</v>
      </c>
      <c r="K19" s="379">
        <f t="shared" si="2"/>
        <v>13200</v>
      </c>
      <c r="L19" s="380" t="s">
        <v>987</v>
      </c>
      <c r="M19" s="381">
        <f>12450+750</f>
        <v>13200</v>
      </c>
      <c r="N19" s="382"/>
      <c r="O19" s="383"/>
      <c r="P19" s="384"/>
      <c r="Q19" s="385"/>
      <c r="Y19" s="34"/>
      <c r="Z19" s="35"/>
    </row>
    <row r="20" spans="1:26" ht="15.75" x14ac:dyDescent="0.25">
      <c r="A20" s="386" t="s">
        <v>653</v>
      </c>
      <c r="B20" s="5" t="s">
        <v>41</v>
      </c>
      <c r="C20" s="373"/>
      <c r="D20" s="374" t="s">
        <v>21</v>
      </c>
      <c r="E20" s="255">
        <v>0</v>
      </c>
      <c r="F20" s="375">
        <f t="shared" si="0"/>
        <v>0</v>
      </c>
      <c r="G20" s="376"/>
      <c r="H20" s="377">
        <v>0</v>
      </c>
      <c r="I20" s="375">
        <f t="shared" si="1"/>
        <v>0</v>
      </c>
      <c r="J20" s="378"/>
      <c r="K20" s="379">
        <f t="shared" si="2"/>
        <v>0</v>
      </c>
      <c r="L20" s="380"/>
      <c r="M20" s="381"/>
      <c r="N20" s="382"/>
      <c r="O20" s="383"/>
      <c r="P20" s="384"/>
      <c r="Q20" s="385"/>
      <c r="Y20" s="387"/>
      <c r="Z20" s="388"/>
    </row>
    <row r="21" spans="1:26" ht="15.75" x14ac:dyDescent="0.25">
      <c r="A21" s="386" t="s">
        <v>654</v>
      </c>
      <c r="B21" s="5" t="s">
        <v>10</v>
      </c>
      <c r="C21" s="373"/>
      <c r="D21" s="374" t="s">
        <v>21</v>
      </c>
      <c r="E21" s="255">
        <v>0</v>
      </c>
      <c r="F21" s="375">
        <f t="shared" si="0"/>
        <v>0</v>
      </c>
      <c r="G21" s="376"/>
      <c r="H21" s="377">
        <v>0</v>
      </c>
      <c r="I21" s="375">
        <f t="shared" si="1"/>
        <v>0</v>
      </c>
      <c r="J21" s="378"/>
      <c r="K21" s="379">
        <f t="shared" si="2"/>
        <v>0</v>
      </c>
      <c r="L21" s="380"/>
      <c r="M21" s="381"/>
      <c r="N21" s="382"/>
      <c r="O21" s="383"/>
      <c r="P21" s="384"/>
      <c r="Q21" s="385"/>
      <c r="Y21" s="387"/>
      <c r="Z21" s="388"/>
    </row>
    <row r="22" spans="1:26" ht="15.75" x14ac:dyDescent="0.25">
      <c r="A22" s="386" t="s">
        <v>655</v>
      </c>
      <c r="B22" s="5" t="s">
        <v>122</v>
      </c>
      <c r="C22" s="373"/>
      <c r="D22" s="374" t="s">
        <v>21</v>
      </c>
      <c r="E22" s="255">
        <v>0</v>
      </c>
      <c r="F22" s="375">
        <f t="shared" si="0"/>
        <v>0</v>
      </c>
      <c r="G22" s="376"/>
      <c r="H22" s="377">
        <v>0</v>
      </c>
      <c r="I22" s="375">
        <f t="shared" si="1"/>
        <v>0</v>
      </c>
      <c r="J22" s="378"/>
      <c r="K22" s="379">
        <f t="shared" si="2"/>
        <v>0</v>
      </c>
      <c r="L22" s="380"/>
      <c r="M22" s="381"/>
      <c r="N22" s="382"/>
      <c r="O22" s="383"/>
      <c r="P22" s="384"/>
      <c r="Q22" s="385"/>
      <c r="Y22" s="387"/>
      <c r="Z22" s="388"/>
    </row>
    <row r="23" spans="1:26" ht="16.5" thickBot="1" x14ac:dyDescent="0.3">
      <c r="A23" s="389"/>
      <c r="B23" s="7"/>
      <c r="C23" s="390"/>
      <c r="D23" s="374"/>
      <c r="E23" s="255"/>
      <c r="F23" s="375"/>
      <c r="G23" s="376"/>
      <c r="H23" s="377"/>
      <c r="I23" s="375"/>
      <c r="J23" s="378"/>
      <c r="K23" s="379"/>
      <c r="L23" s="380"/>
      <c r="M23" s="381"/>
      <c r="N23" s="382"/>
      <c r="O23" s="383"/>
      <c r="P23" s="384"/>
      <c r="Q23" s="385"/>
      <c r="Y23" s="387"/>
      <c r="Z23" s="388"/>
    </row>
    <row r="24" spans="1:26" ht="16.5" thickTop="1" x14ac:dyDescent="0.25">
      <c r="A24" s="389"/>
      <c r="B24" s="7"/>
      <c r="C24" s="390"/>
      <c r="D24" s="374"/>
      <c r="E24" s="255"/>
      <c r="F24" s="375"/>
      <c r="G24" s="376"/>
      <c r="H24" s="377"/>
      <c r="I24" s="375"/>
      <c r="J24" s="391" t="s">
        <v>30</v>
      </c>
      <c r="K24" s="392">
        <f>SUM(K11:K23)</f>
        <v>52700</v>
      </c>
      <c r="L24" s="380"/>
      <c r="M24" s="381"/>
      <c r="N24" s="382"/>
      <c r="O24" s="383"/>
      <c r="P24" s="384"/>
      <c r="Q24" s="385"/>
      <c r="Y24" s="387"/>
      <c r="Z24" s="388"/>
    </row>
    <row r="25" spans="1:26" ht="16.5" thickBot="1" x14ac:dyDescent="0.3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358"/>
      <c r="L25" s="393"/>
      <c r="M25" s="394"/>
      <c r="N25" s="395"/>
      <c r="O25" s="383"/>
      <c r="P25" s="384"/>
      <c r="Q25" s="385"/>
      <c r="Y25" s="387"/>
      <c r="Z25" s="388"/>
    </row>
    <row r="26" spans="1:26" ht="16.5" thickBot="1" x14ac:dyDescent="0.3">
      <c r="A26" s="396" t="s">
        <v>102</v>
      </c>
      <c r="B26" s="397" t="s">
        <v>103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402" t="s">
        <v>14</v>
      </c>
      <c r="H26" s="400" t="s">
        <v>35</v>
      </c>
      <c r="I26" s="401" t="s">
        <v>30</v>
      </c>
      <c r="J26" s="366" t="s">
        <v>659</v>
      </c>
      <c r="K26" s="403" t="s">
        <v>38</v>
      </c>
      <c r="L26" s="404"/>
      <c r="M26" s="405"/>
      <c r="N26" s="406"/>
      <c r="O26" s="383"/>
      <c r="P26" s="384"/>
      <c r="Q26" s="385"/>
      <c r="Y26" s="387"/>
      <c r="Z26" s="388"/>
    </row>
    <row r="27" spans="1:26" ht="15.75" x14ac:dyDescent="0.25">
      <c r="A27" s="407" t="s">
        <v>799</v>
      </c>
      <c r="B27" s="408" t="s">
        <v>123</v>
      </c>
      <c r="C27" s="373"/>
      <c r="D27" s="374" t="s">
        <v>21</v>
      </c>
      <c r="E27" s="255">
        <v>0</v>
      </c>
      <c r="F27" s="375">
        <f>C27*E27</f>
        <v>0</v>
      </c>
      <c r="G27" s="376"/>
      <c r="H27" s="377">
        <v>0</v>
      </c>
      <c r="I27" s="375">
        <f>G27*H27</f>
        <v>0</v>
      </c>
      <c r="J27" s="378"/>
      <c r="K27" s="379">
        <f>F27+I27+J27</f>
        <v>0</v>
      </c>
      <c r="L27" s="380"/>
      <c r="M27" s="381"/>
      <c r="N27" s="382"/>
      <c r="O27" s="383"/>
      <c r="P27" s="384"/>
      <c r="Q27" s="385"/>
      <c r="Y27" s="387"/>
      <c r="Z27" s="388"/>
    </row>
    <row r="28" spans="1:26" x14ac:dyDescent="0.2">
      <c r="A28" s="372" t="s">
        <v>800</v>
      </c>
      <c r="B28" s="5" t="s">
        <v>124</v>
      </c>
      <c r="C28" s="373"/>
      <c r="D28" s="374" t="s">
        <v>21</v>
      </c>
      <c r="E28" s="255">
        <v>0</v>
      </c>
      <c r="F28" s="375">
        <f t="shared" ref="F28:F33" si="3">C28*E28</f>
        <v>0</v>
      </c>
      <c r="G28" s="376"/>
      <c r="H28" s="377">
        <v>0</v>
      </c>
      <c r="I28" s="375">
        <f t="shared" ref="I28:I33" si="4">G28*H28</f>
        <v>0</v>
      </c>
      <c r="J28" s="378"/>
      <c r="K28" s="379">
        <f t="shared" ref="K28:K34" si="5">F28+I28+J28</f>
        <v>0</v>
      </c>
      <c r="L28" s="380"/>
      <c r="M28" s="381"/>
      <c r="N28" s="382"/>
      <c r="O28" s="383"/>
      <c r="P28" s="384"/>
      <c r="Q28" s="385"/>
    </row>
    <row r="29" spans="1:26" x14ac:dyDescent="0.2">
      <c r="A29" s="372" t="s">
        <v>801</v>
      </c>
      <c r="B29" s="5" t="s">
        <v>125</v>
      </c>
      <c r="C29" s="373">
        <f>J6</f>
        <v>13</v>
      </c>
      <c r="D29" s="374" t="s">
        <v>21</v>
      </c>
      <c r="E29" s="255">
        <v>0</v>
      </c>
      <c r="F29" s="375">
        <f t="shared" si="3"/>
        <v>0</v>
      </c>
      <c r="G29" s="376">
        <v>10</v>
      </c>
      <c r="H29" s="377">
        <v>100</v>
      </c>
      <c r="I29" s="375">
        <f>H29*G29*C29</f>
        <v>13000</v>
      </c>
      <c r="J29" s="378"/>
      <c r="K29" s="379">
        <f t="shared" si="5"/>
        <v>13000</v>
      </c>
      <c r="L29" s="380"/>
      <c r="M29" s="381"/>
      <c r="N29" s="382"/>
      <c r="O29" s="383"/>
      <c r="P29" s="384"/>
      <c r="Q29" s="385"/>
    </row>
    <row r="30" spans="1:26" x14ac:dyDescent="0.2">
      <c r="A30" s="372" t="s">
        <v>803</v>
      </c>
      <c r="B30" s="5" t="s">
        <v>746</v>
      </c>
      <c r="C30" s="373">
        <f>J6</f>
        <v>13</v>
      </c>
      <c r="D30" s="374" t="s">
        <v>21</v>
      </c>
      <c r="E30" s="255">
        <v>0</v>
      </c>
      <c r="F30" s="375">
        <f t="shared" si="3"/>
        <v>0</v>
      </c>
      <c r="G30" s="376"/>
      <c r="H30" s="377">
        <v>75</v>
      </c>
      <c r="I30" s="375">
        <f>H30*G30*C30</f>
        <v>0</v>
      </c>
      <c r="J30" s="378"/>
      <c r="K30" s="379">
        <f t="shared" si="5"/>
        <v>0</v>
      </c>
      <c r="L30" s="380"/>
      <c r="M30" s="381"/>
      <c r="N30" s="382"/>
      <c r="O30" s="383"/>
      <c r="P30" s="384"/>
      <c r="Q30" s="385"/>
    </row>
    <row r="31" spans="1:26" x14ac:dyDescent="0.2">
      <c r="A31" s="372" t="s">
        <v>802</v>
      </c>
      <c r="B31" s="5" t="s">
        <v>126</v>
      </c>
      <c r="C31" s="373">
        <f>J6</f>
        <v>13</v>
      </c>
      <c r="D31" s="374" t="s">
        <v>21</v>
      </c>
      <c r="E31" s="255">
        <v>0</v>
      </c>
      <c r="F31" s="375">
        <f t="shared" si="3"/>
        <v>0</v>
      </c>
      <c r="G31" s="376">
        <v>40</v>
      </c>
      <c r="H31" s="377">
        <v>85</v>
      </c>
      <c r="I31" s="375">
        <f>H31*G31*C31</f>
        <v>44200</v>
      </c>
      <c r="J31" s="378"/>
      <c r="K31" s="379">
        <f t="shared" si="5"/>
        <v>44200</v>
      </c>
      <c r="L31" s="380"/>
      <c r="M31" s="381"/>
      <c r="N31" s="382"/>
      <c r="O31" s="383"/>
      <c r="P31" s="384"/>
      <c r="Q31" s="385"/>
    </row>
    <row r="32" spans="1:26" x14ac:dyDescent="0.2">
      <c r="A32" s="372" t="s">
        <v>804</v>
      </c>
      <c r="B32" s="5" t="s">
        <v>127</v>
      </c>
      <c r="C32" s="373"/>
      <c r="D32" s="374" t="s">
        <v>21</v>
      </c>
      <c r="E32" s="255">
        <v>0</v>
      </c>
      <c r="F32" s="375">
        <f t="shared" si="3"/>
        <v>0</v>
      </c>
      <c r="G32" s="376"/>
      <c r="H32" s="377">
        <v>0</v>
      </c>
      <c r="I32" s="375">
        <f t="shared" si="4"/>
        <v>0</v>
      </c>
      <c r="J32" s="378"/>
      <c r="K32" s="379">
        <f t="shared" si="5"/>
        <v>0</v>
      </c>
      <c r="L32" s="380"/>
      <c r="M32" s="381"/>
      <c r="N32" s="382"/>
      <c r="O32" s="383"/>
      <c r="P32" s="384"/>
      <c r="Q32" s="385"/>
    </row>
    <row r="33" spans="1:24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376"/>
      <c r="H33" s="377">
        <v>0</v>
      </c>
      <c r="I33" s="375">
        <f t="shared" si="4"/>
        <v>0</v>
      </c>
      <c r="J33" s="378"/>
      <c r="K33" s="379">
        <f t="shared" si="5"/>
        <v>0</v>
      </c>
      <c r="L33" s="380"/>
      <c r="M33" s="381"/>
      <c r="N33" s="382"/>
      <c r="O33" s="383"/>
      <c r="P33" s="384"/>
      <c r="Q33" s="385"/>
    </row>
    <row r="34" spans="1:24" ht="13.5" thickBot="1" x14ac:dyDescent="0.25">
      <c r="A34" s="372"/>
      <c r="B34" s="5"/>
      <c r="C34" s="373"/>
      <c r="D34" s="374"/>
      <c r="E34" s="255"/>
      <c r="F34" s="375"/>
      <c r="G34" s="376"/>
      <c r="H34" s="377"/>
      <c r="I34" s="375"/>
      <c r="J34" s="378"/>
      <c r="K34" s="379">
        <f t="shared" si="5"/>
        <v>0</v>
      </c>
      <c r="L34" s="380"/>
      <c r="M34" s="381"/>
      <c r="N34" s="382"/>
      <c r="O34" s="383"/>
      <c r="P34" s="384"/>
      <c r="Q34" s="385"/>
    </row>
    <row r="35" spans="1:24" ht="13.5" thickTop="1" x14ac:dyDescent="0.2">
      <c r="A35" s="389"/>
      <c r="B35" s="5"/>
      <c r="C35" s="390"/>
      <c r="D35" s="374"/>
      <c r="E35" s="255"/>
      <c r="F35" s="375"/>
      <c r="G35" s="376"/>
      <c r="H35" s="377"/>
      <c r="I35" s="375"/>
      <c r="J35" s="391" t="s">
        <v>30</v>
      </c>
      <c r="K35" s="392">
        <f>SUM(K27:K34)</f>
        <v>57200</v>
      </c>
      <c r="L35" s="380"/>
      <c r="M35" s="381"/>
      <c r="N35" s="382"/>
      <c r="O35" s="383"/>
      <c r="P35" s="384"/>
      <c r="Q35" s="385"/>
    </row>
    <row r="36" spans="1:24" ht="13.5" thickBot="1" x14ac:dyDescent="0.25">
      <c r="A36" s="355" t="s">
        <v>0</v>
      </c>
      <c r="B36" s="356" t="s">
        <v>1</v>
      </c>
      <c r="C36" s="948"/>
      <c r="D36" s="948"/>
      <c r="E36" s="948"/>
      <c r="F36" s="948"/>
      <c r="G36" s="948"/>
      <c r="H36" s="948"/>
      <c r="I36" s="948"/>
      <c r="J36" s="357"/>
      <c r="K36" s="358"/>
      <c r="L36" s="393"/>
      <c r="M36" s="394"/>
      <c r="N36" s="395"/>
      <c r="O36" s="383"/>
      <c r="P36" s="384"/>
      <c r="Q36" s="385"/>
    </row>
    <row r="37" spans="1:24" ht="16.5" thickBot="1" x14ac:dyDescent="0.3">
      <c r="A37" s="396" t="s">
        <v>805</v>
      </c>
      <c r="B37" s="397" t="s">
        <v>927</v>
      </c>
      <c r="C37" s="398"/>
      <c r="D37" s="399" t="s">
        <v>841</v>
      </c>
      <c r="E37" s="409" t="s">
        <v>773</v>
      </c>
      <c r="F37" s="401" t="s">
        <v>749</v>
      </c>
      <c r="G37" s="400" t="s">
        <v>810</v>
      </c>
      <c r="H37" s="401" t="s">
        <v>808</v>
      </c>
      <c r="I37" s="201"/>
      <c r="J37" s="402" t="s">
        <v>30</v>
      </c>
      <c r="K37" s="403" t="s">
        <v>38</v>
      </c>
      <c r="L37" s="404"/>
      <c r="M37" s="410"/>
      <c r="N37" s="411"/>
      <c r="O37" s="412"/>
      <c r="P37" s="413"/>
      <c r="Q37" s="385"/>
      <c r="U37" s="414"/>
      <c r="V37" s="415"/>
      <c r="W37" s="416"/>
      <c r="X37" s="416"/>
    </row>
    <row r="38" spans="1:24" x14ac:dyDescent="0.2">
      <c r="A38" s="407" t="s">
        <v>977</v>
      </c>
      <c r="B38" s="408" t="s">
        <v>982</v>
      </c>
      <c r="C38" s="417">
        <f>SUM('Estimate Summary'!H17:H61)/1000</f>
        <v>598.98224000000005</v>
      </c>
      <c r="D38" s="418" t="s">
        <v>841</v>
      </c>
      <c r="E38" s="419">
        <v>0.63</v>
      </c>
      <c r="F38" s="420">
        <f>C38*E38</f>
        <v>377.35881120000005</v>
      </c>
      <c r="G38" s="377"/>
      <c r="H38" s="421"/>
      <c r="J38" s="422"/>
      <c r="K38" s="379">
        <f>F38</f>
        <v>377.35881120000005</v>
      </c>
      <c r="L38" s="380"/>
      <c r="M38" s="257"/>
      <c r="N38" s="423"/>
      <c r="O38" s="412"/>
      <c r="P38" s="413"/>
      <c r="Q38" s="385"/>
      <c r="U38" s="414"/>
      <c r="V38" s="415"/>
      <c r="W38" s="416"/>
      <c r="X38" s="416"/>
    </row>
    <row r="39" spans="1:24" x14ac:dyDescent="0.2">
      <c r="A39" s="372"/>
      <c r="B39" s="5" t="s">
        <v>984</v>
      </c>
      <c r="C39" s="417">
        <f>SUM('Estimate Summary'!H17:H61)/1000</f>
        <v>598.98224000000005</v>
      </c>
      <c r="D39" s="418" t="s">
        <v>841</v>
      </c>
      <c r="E39" s="419">
        <v>1.29</v>
      </c>
      <c r="F39" s="420">
        <f>C39*E39</f>
        <v>772.68708960000004</v>
      </c>
      <c r="G39" s="377"/>
      <c r="H39" s="421"/>
      <c r="J39" s="422"/>
      <c r="K39" s="379">
        <f>F39</f>
        <v>772.68708960000004</v>
      </c>
      <c r="L39" s="380"/>
      <c r="M39" s="257"/>
      <c r="N39" s="423"/>
      <c r="O39" s="412"/>
      <c r="P39" s="413"/>
      <c r="Q39" s="385"/>
      <c r="U39" s="414"/>
      <c r="V39" s="415"/>
      <c r="W39" s="416"/>
      <c r="X39" s="416"/>
    </row>
    <row r="40" spans="1:24" x14ac:dyDescent="0.2">
      <c r="A40" s="372"/>
      <c r="B40" s="5" t="s">
        <v>978</v>
      </c>
      <c r="C40" s="824">
        <f>+J6/4.5</f>
        <v>2.8888888888888888</v>
      </c>
      <c r="D40" s="374" t="s">
        <v>983</v>
      </c>
      <c r="E40" s="255">
        <v>0.75</v>
      </c>
      <c r="F40" s="420"/>
      <c r="H40" s="377"/>
      <c r="I40" s="375"/>
      <c r="J40" s="425"/>
      <c r="K40" s="379">
        <f>F40</f>
        <v>0</v>
      </c>
      <c r="L40" s="380"/>
      <c r="M40" s="257"/>
      <c r="N40" s="423"/>
      <c r="O40" s="412"/>
      <c r="P40" s="413"/>
      <c r="Q40" s="385"/>
      <c r="U40" s="414"/>
      <c r="V40" s="415"/>
      <c r="W40" s="416"/>
      <c r="X40" s="416"/>
    </row>
    <row r="41" spans="1:24" x14ac:dyDescent="0.2">
      <c r="A41" s="389"/>
      <c r="B41" s="414" t="s">
        <v>979</v>
      </c>
      <c r="C41" s="441">
        <f>SUM('Estimate Summary'!H17:H61)/1000</f>
        <v>598.98224000000005</v>
      </c>
      <c r="D41" s="374" t="s">
        <v>841</v>
      </c>
      <c r="E41" s="255">
        <v>1.88</v>
      </c>
      <c r="F41" s="420"/>
      <c r="H41" s="377"/>
      <c r="I41" s="375"/>
      <c r="J41" s="376"/>
      <c r="K41" s="379">
        <f>F41</f>
        <v>0</v>
      </c>
      <c r="L41" s="380"/>
      <c r="M41" s="257"/>
      <c r="N41" s="423"/>
      <c r="O41" s="412"/>
      <c r="P41" s="413"/>
      <c r="Q41" s="385"/>
      <c r="U41" s="414"/>
      <c r="V41" s="415"/>
      <c r="W41" s="416"/>
      <c r="X41" s="416"/>
    </row>
    <row r="42" spans="1:24" x14ac:dyDescent="0.2">
      <c r="A42" s="389"/>
      <c r="B42" s="258"/>
      <c r="C42" s="390"/>
      <c r="D42" s="374"/>
      <c r="E42" s="255"/>
      <c r="F42" s="375"/>
      <c r="H42" s="377"/>
      <c r="I42" s="375"/>
      <c r="J42" s="425"/>
      <c r="K42" s="379"/>
      <c r="L42" s="380"/>
      <c r="M42" s="257"/>
      <c r="N42" s="423"/>
      <c r="O42" s="412"/>
      <c r="P42" s="413"/>
      <c r="Q42" s="385"/>
      <c r="U42" s="414"/>
      <c r="V42" s="415"/>
      <c r="W42" s="416"/>
      <c r="X42" s="416"/>
    </row>
    <row r="43" spans="1:24" x14ac:dyDescent="0.2">
      <c r="A43" s="389"/>
      <c r="B43" s="258"/>
      <c r="C43" s="390"/>
      <c r="D43" s="374"/>
      <c r="E43" s="255"/>
      <c r="F43" s="375"/>
      <c r="H43" s="377"/>
      <c r="I43" s="375"/>
      <c r="J43" s="425"/>
      <c r="K43" s="379"/>
      <c r="L43" s="380"/>
      <c r="M43" s="257"/>
      <c r="N43" s="423"/>
      <c r="O43" s="412"/>
      <c r="P43" s="413"/>
      <c r="Q43" s="385"/>
      <c r="U43" s="414"/>
      <c r="V43" s="415"/>
      <c r="W43" s="416"/>
      <c r="X43" s="416"/>
    </row>
    <row r="44" spans="1:24" ht="13.5" thickBot="1" x14ac:dyDescent="0.25">
      <c r="A44" s="389"/>
      <c r="B44" s="258"/>
      <c r="C44" s="390"/>
      <c r="D44" s="374"/>
      <c r="E44" s="255"/>
      <c r="F44" s="375"/>
      <c r="H44" s="377"/>
      <c r="I44" s="375"/>
      <c r="J44" s="425"/>
      <c r="K44" s="379"/>
      <c r="L44" s="380"/>
      <c r="M44" s="257"/>
      <c r="N44" s="423"/>
      <c r="O44" s="412"/>
      <c r="P44" s="413"/>
      <c r="Q44" s="385"/>
      <c r="U44" s="414"/>
      <c r="V44" s="415"/>
      <c r="W44" s="416"/>
      <c r="X44" s="416"/>
    </row>
    <row r="45" spans="1:24" ht="13.5" thickTop="1" x14ac:dyDescent="0.2">
      <c r="A45" s="389" t="s">
        <v>805</v>
      </c>
      <c r="B45" s="414"/>
      <c r="C45" s="390"/>
      <c r="D45" s="374"/>
      <c r="E45" s="255"/>
      <c r="F45" s="375"/>
      <c r="G45" s="376"/>
      <c r="H45" s="377"/>
      <c r="I45" s="375"/>
      <c r="J45" s="391" t="s">
        <v>30</v>
      </c>
      <c r="K45" s="392">
        <f>SUM(K38:K44)</f>
        <v>1150.0459008</v>
      </c>
      <c r="L45" s="380"/>
      <c r="M45" s="257"/>
      <c r="N45" s="382"/>
      <c r="O45" s="383"/>
      <c r="P45" s="384"/>
      <c r="Q45" s="385"/>
    </row>
    <row r="46" spans="1:24" ht="13.5" thickBot="1" x14ac:dyDescent="0.25">
      <c r="A46" s="355" t="s">
        <v>0</v>
      </c>
      <c r="B46" s="356" t="s">
        <v>1</v>
      </c>
      <c r="C46" s="948" t="s">
        <v>656</v>
      </c>
      <c r="D46" s="948"/>
      <c r="E46" s="948"/>
      <c r="F46" s="948"/>
      <c r="G46" s="948" t="s">
        <v>34</v>
      </c>
      <c r="H46" s="948"/>
      <c r="I46" s="948"/>
      <c r="J46" s="357"/>
      <c r="K46" s="358"/>
      <c r="L46" s="393"/>
      <c r="M46" s="394"/>
      <c r="N46" s="395"/>
      <c r="O46" s="383"/>
      <c r="P46" s="384"/>
      <c r="Q46" s="385"/>
    </row>
    <row r="47" spans="1:24" ht="13.5" thickBot="1" x14ac:dyDescent="0.25">
      <c r="A47" s="355" t="s">
        <v>0</v>
      </c>
      <c r="B47" s="356" t="s">
        <v>1</v>
      </c>
      <c r="C47" s="948"/>
      <c r="D47" s="948"/>
      <c r="E47" s="948"/>
      <c r="F47" s="948"/>
      <c r="G47" s="948"/>
      <c r="H47" s="948"/>
      <c r="I47" s="948"/>
      <c r="J47" s="357"/>
      <c r="K47" s="358"/>
      <c r="L47" s="404"/>
      <c r="M47" s="410"/>
      <c r="N47" s="411"/>
      <c r="O47" s="412"/>
      <c r="P47" s="413"/>
      <c r="Q47" s="385"/>
      <c r="U47" s="414"/>
      <c r="V47" s="415"/>
      <c r="W47" s="416"/>
      <c r="X47" s="416"/>
    </row>
    <row r="48" spans="1:24" ht="21.95" customHeight="1" thickBot="1" x14ac:dyDescent="0.3">
      <c r="A48" s="396" t="s">
        <v>805</v>
      </c>
      <c r="B48" s="397" t="s">
        <v>725</v>
      </c>
      <c r="C48" s="398" t="s">
        <v>808</v>
      </c>
      <c r="D48" s="399" t="s">
        <v>72</v>
      </c>
      <c r="E48" s="409" t="s">
        <v>809</v>
      </c>
      <c r="F48" s="401" t="s">
        <v>749</v>
      </c>
      <c r="G48" s="400" t="s">
        <v>810</v>
      </c>
      <c r="H48" s="401" t="s">
        <v>808</v>
      </c>
      <c r="I48" s="201"/>
      <c r="J48" s="402" t="s">
        <v>30</v>
      </c>
      <c r="K48" s="403" t="s">
        <v>38</v>
      </c>
      <c r="L48" s="380"/>
      <c r="M48" s="257"/>
      <c r="N48" s="423"/>
      <c r="O48" s="412"/>
      <c r="P48" s="413"/>
      <c r="Q48" s="385"/>
      <c r="U48" s="414"/>
      <c r="V48" s="415"/>
      <c r="W48" s="416"/>
      <c r="X48" s="416"/>
    </row>
    <row r="49" spans="1:24" ht="27" customHeight="1" x14ac:dyDescent="0.2">
      <c r="A49" s="407"/>
      <c r="B49" s="408" t="s">
        <v>806</v>
      </c>
      <c r="C49" s="373"/>
      <c r="D49" s="374">
        <f>J6</f>
        <v>13</v>
      </c>
      <c r="E49" s="424">
        <v>0</v>
      </c>
      <c r="F49" s="375">
        <v>0.45</v>
      </c>
      <c r="G49" s="377"/>
      <c r="H49" s="421">
        <f>C49*D49</f>
        <v>0</v>
      </c>
      <c r="J49" s="422">
        <f>C49*D49*E49*F49+G49*H49</f>
        <v>0</v>
      </c>
      <c r="K49" s="379">
        <f>J49+(G49*H49)</f>
        <v>0</v>
      </c>
      <c r="L49" s="380"/>
      <c r="M49" s="257"/>
      <c r="N49" s="423"/>
      <c r="O49" s="412"/>
      <c r="P49" s="413"/>
      <c r="Q49" s="385"/>
      <c r="U49" s="414"/>
      <c r="V49" s="415"/>
      <c r="W49" s="416"/>
      <c r="X49" s="416"/>
    </row>
    <row r="50" spans="1:24" x14ac:dyDescent="0.2">
      <c r="A50" s="372"/>
      <c r="B50" s="5" t="s">
        <v>807</v>
      </c>
      <c r="C50" s="373"/>
      <c r="D50" s="374">
        <f>J6</f>
        <v>13</v>
      </c>
      <c r="E50" s="424">
        <v>0</v>
      </c>
      <c r="F50" s="375">
        <v>0.45</v>
      </c>
      <c r="G50" s="377"/>
      <c r="H50" s="421">
        <f>C50*D50</f>
        <v>0</v>
      </c>
      <c r="J50" s="422">
        <f>C50*D50*E50*F50+G50*H50</f>
        <v>0</v>
      </c>
      <c r="K50" s="379">
        <f>J50+(G50*H50)</f>
        <v>0</v>
      </c>
      <c r="L50" s="380"/>
      <c r="M50" s="257"/>
      <c r="N50" s="423"/>
      <c r="O50" s="412"/>
      <c r="P50" s="413"/>
      <c r="Q50" s="385"/>
      <c r="U50" s="414"/>
      <c r="V50" s="415"/>
      <c r="W50" s="416"/>
      <c r="X50" s="416"/>
    </row>
    <row r="51" spans="1:24" x14ac:dyDescent="0.2">
      <c r="A51" s="372"/>
      <c r="B51" s="5" t="s">
        <v>726</v>
      </c>
      <c r="C51" s="373"/>
      <c r="D51" s="374">
        <f>J6</f>
        <v>13</v>
      </c>
      <c r="E51" s="255"/>
      <c r="F51" s="375">
        <v>120</v>
      </c>
      <c r="H51" s="377"/>
      <c r="I51" s="375"/>
      <c r="J51" s="425">
        <f>C51*D51*F51</f>
        <v>0</v>
      </c>
      <c r="K51" s="379">
        <f>J51</f>
        <v>0</v>
      </c>
      <c r="L51" s="380"/>
      <c r="M51" s="257"/>
      <c r="N51" s="423"/>
      <c r="O51" s="412"/>
      <c r="P51" s="413"/>
      <c r="Q51" s="385"/>
      <c r="U51" s="414"/>
      <c r="V51" s="415"/>
      <c r="W51" s="416"/>
      <c r="X51" s="416"/>
    </row>
    <row r="52" spans="1:24" x14ac:dyDescent="0.2">
      <c r="A52" s="389"/>
      <c r="B52" s="414" t="s">
        <v>811</v>
      </c>
      <c r="C52" s="390"/>
      <c r="D52" s="374"/>
      <c r="E52" s="255"/>
      <c r="F52" s="375"/>
      <c r="H52" s="377"/>
      <c r="I52" s="375"/>
      <c r="J52" s="376"/>
      <c r="K52" s="304"/>
      <c r="L52" s="380"/>
      <c r="M52" s="257"/>
      <c r="N52" s="423"/>
      <c r="O52" s="412"/>
      <c r="P52" s="413"/>
      <c r="Q52" s="385"/>
      <c r="U52" s="414"/>
      <c r="V52" s="415"/>
      <c r="W52" s="416"/>
      <c r="X52" s="416"/>
    </row>
    <row r="53" spans="1:24" x14ac:dyDescent="0.2">
      <c r="A53" s="389"/>
      <c r="B53" s="258" t="s">
        <v>727</v>
      </c>
      <c r="C53" s="390"/>
      <c r="D53" s="374">
        <f>J$6</f>
        <v>13</v>
      </c>
      <c r="E53" s="255"/>
      <c r="F53" s="375">
        <v>40</v>
      </c>
      <c r="H53" s="377"/>
      <c r="I53" s="375"/>
      <c r="J53" s="425">
        <f>C53*D53*F53</f>
        <v>0</v>
      </c>
      <c r="K53" s="379">
        <f>J53</f>
        <v>0</v>
      </c>
      <c r="L53" s="380"/>
      <c r="M53" s="257"/>
      <c r="N53" s="423"/>
      <c r="O53" s="412"/>
      <c r="P53" s="413"/>
      <c r="Q53" s="385"/>
      <c r="U53" s="414"/>
      <c r="V53" s="415"/>
      <c r="W53" s="416"/>
      <c r="X53" s="416"/>
    </row>
    <row r="54" spans="1:24" x14ac:dyDescent="0.2">
      <c r="A54" s="389"/>
      <c r="B54" s="258" t="s">
        <v>728</v>
      </c>
      <c r="C54" s="390"/>
      <c r="D54" s="374">
        <f>J$6</f>
        <v>13</v>
      </c>
      <c r="E54" s="255"/>
      <c r="F54" s="375">
        <v>47</v>
      </c>
      <c r="H54" s="377"/>
      <c r="I54" s="375"/>
      <c r="J54" s="425">
        <f>C54*D54*F54</f>
        <v>0</v>
      </c>
      <c r="K54" s="379">
        <f>J54</f>
        <v>0</v>
      </c>
      <c r="L54" s="380"/>
      <c r="M54" s="257"/>
      <c r="N54" s="423"/>
      <c r="O54" s="412"/>
      <c r="P54" s="413"/>
      <c r="Q54" s="385"/>
      <c r="U54" s="414"/>
      <c r="V54" s="415"/>
      <c r="W54" s="416"/>
      <c r="X54" s="416"/>
    </row>
    <row r="55" spans="1:24" ht="13.5" thickBot="1" x14ac:dyDescent="0.25">
      <c r="A55" s="389"/>
      <c r="B55" s="258" t="s">
        <v>729</v>
      </c>
      <c r="C55" s="390"/>
      <c r="D55" s="374">
        <f>J$6</f>
        <v>13</v>
      </c>
      <c r="E55" s="255"/>
      <c r="F55" s="375">
        <v>22</v>
      </c>
      <c r="H55" s="377"/>
      <c r="I55" s="375"/>
      <c r="J55" s="425">
        <f>C55*D55*F55</f>
        <v>0</v>
      </c>
      <c r="K55" s="379">
        <f>J55</f>
        <v>0</v>
      </c>
      <c r="L55" s="380"/>
      <c r="M55" s="257"/>
      <c r="N55" s="423"/>
      <c r="O55" s="412"/>
      <c r="P55" s="413"/>
      <c r="Q55" s="385"/>
      <c r="U55" s="414"/>
      <c r="V55" s="415"/>
      <c r="W55" s="416"/>
      <c r="X55" s="416"/>
    </row>
    <row r="56" spans="1:24" ht="13.5" thickTop="1" x14ac:dyDescent="0.2">
      <c r="A56" s="389" t="s">
        <v>805</v>
      </c>
      <c r="B56" s="414"/>
      <c r="C56" s="390"/>
      <c r="D56" s="374"/>
      <c r="E56" s="255"/>
      <c r="F56" s="375"/>
      <c r="G56" s="376"/>
      <c r="H56" s="377"/>
      <c r="I56" s="375"/>
      <c r="J56" s="391" t="s">
        <v>30</v>
      </c>
      <c r="K56" s="392">
        <f>SUM(K49:K55)</f>
        <v>0</v>
      </c>
      <c r="L56" s="380"/>
      <c r="M56" s="257"/>
      <c r="N56" s="382"/>
      <c r="O56" s="383"/>
      <c r="P56" s="384"/>
      <c r="Q56" s="385"/>
    </row>
    <row r="57" spans="1:24" ht="13.5" thickBot="1" x14ac:dyDescent="0.25">
      <c r="A57" s="355" t="s">
        <v>0</v>
      </c>
      <c r="B57" s="356" t="s">
        <v>1</v>
      </c>
      <c r="C57" s="948" t="s">
        <v>656</v>
      </c>
      <c r="D57" s="948"/>
      <c r="E57" s="948"/>
      <c r="F57" s="948"/>
      <c r="G57" s="948" t="s">
        <v>34</v>
      </c>
      <c r="H57" s="948"/>
      <c r="I57" s="948"/>
      <c r="J57" s="357"/>
      <c r="K57" s="358"/>
      <c r="L57" s="393"/>
      <c r="M57" s="357"/>
      <c r="N57" s="395"/>
      <c r="O57" s="383"/>
      <c r="P57" s="384"/>
      <c r="Q57" s="385"/>
    </row>
    <row r="58" spans="1:24" ht="16.5" thickBot="1" x14ac:dyDescent="0.3">
      <c r="A58" s="396" t="s">
        <v>104</v>
      </c>
      <c r="B58" s="397" t="s">
        <v>105</v>
      </c>
      <c r="C58" s="398" t="s">
        <v>19</v>
      </c>
      <c r="D58" s="399" t="s">
        <v>33</v>
      </c>
      <c r="E58" s="400" t="s">
        <v>35</v>
      </c>
      <c r="F58" s="401" t="s">
        <v>30</v>
      </c>
      <c r="G58" s="402" t="s">
        <v>14</v>
      </c>
      <c r="H58" s="400" t="s">
        <v>35</v>
      </c>
      <c r="I58" s="401" t="s">
        <v>30</v>
      </c>
      <c r="J58" s="366" t="s">
        <v>659</v>
      </c>
      <c r="K58" s="403" t="s">
        <v>38</v>
      </c>
      <c r="L58" s="404"/>
      <c r="M58" s="410"/>
      <c r="N58" s="406"/>
      <c r="O58" s="383"/>
      <c r="P58" s="413"/>
      <c r="Q58" s="385"/>
    </row>
    <row r="59" spans="1:24" ht="13.5" thickBot="1" x14ac:dyDescent="0.25">
      <c r="A59" s="426" t="s">
        <v>874</v>
      </c>
      <c r="B59" s="427" t="s">
        <v>149</v>
      </c>
      <c r="C59" s="417">
        <f>SUM('Estimate Summary'!H17:H61)/1000</f>
        <v>598.98224000000005</v>
      </c>
      <c r="D59" s="418" t="s">
        <v>841</v>
      </c>
      <c r="E59" s="419">
        <v>0</v>
      </c>
      <c r="F59" s="420">
        <f>C59*E59</f>
        <v>0</v>
      </c>
      <c r="G59" s="428"/>
      <c r="H59" s="429"/>
      <c r="I59" s="420"/>
      <c r="J59" s="430">
        <f>M59</f>
        <v>2816.89</v>
      </c>
      <c r="K59" s="431">
        <f>F59+I59+J59</f>
        <v>2816.89</v>
      </c>
      <c r="L59" s="380" t="s">
        <v>1168</v>
      </c>
      <c r="M59" s="257">
        <v>2816.89</v>
      </c>
      <c r="N59" s="382"/>
      <c r="O59" s="383"/>
      <c r="P59" s="384"/>
      <c r="Q59" s="385"/>
    </row>
    <row r="60" spans="1:24" x14ac:dyDescent="0.2">
      <c r="A60" s="372"/>
      <c r="B60" s="432" t="s">
        <v>837</v>
      </c>
      <c r="C60" s="433">
        <v>8</v>
      </c>
      <c r="D60" s="434" t="s">
        <v>841</v>
      </c>
      <c r="E60" s="995" t="s">
        <v>918</v>
      </c>
      <c r="F60" s="996"/>
      <c r="G60" s="999" t="s">
        <v>919</v>
      </c>
      <c r="H60" s="1000"/>
      <c r="I60" s="1000"/>
      <c r="J60" s="257"/>
      <c r="K60" s="304"/>
      <c r="L60" s="380"/>
      <c r="M60" s="257"/>
      <c r="N60" s="382"/>
      <c r="O60" s="383"/>
      <c r="P60" s="384"/>
      <c r="Q60" s="385"/>
    </row>
    <row r="61" spans="1:24" x14ac:dyDescent="0.2">
      <c r="A61" s="372"/>
      <c r="B61" s="435" t="s">
        <v>842</v>
      </c>
      <c r="C61" s="436">
        <v>7.5</v>
      </c>
      <c r="D61" s="374" t="s">
        <v>841</v>
      </c>
      <c r="E61" s="997"/>
      <c r="F61" s="997"/>
      <c r="G61" s="258"/>
      <c r="H61" s="377"/>
      <c r="I61" s="255"/>
      <c r="J61" s="257"/>
      <c r="K61" s="304"/>
      <c r="L61" s="380"/>
      <c r="M61" s="257"/>
      <c r="N61" s="382"/>
      <c r="O61" s="383"/>
      <c r="P61" s="384"/>
      <c r="Q61" s="385"/>
    </row>
    <row r="62" spans="1:24" x14ac:dyDescent="0.2">
      <c r="A62" s="372"/>
      <c r="B62" s="435" t="s">
        <v>838</v>
      </c>
      <c r="C62" s="436">
        <v>8.9</v>
      </c>
      <c r="D62" s="374" t="s">
        <v>841</v>
      </c>
      <c r="E62" s="997" t="s">
        <v>963</v>
      </c>
      <c r="F62" s="997"/>
      <c r="G62" s="258"/>
      <c r="H62" s="377"/>
      <c r="I62" s="255"/>
      <c r="J62" s="257"/>
      <c r="K62" s="304"/>
      <c r="L62" s="380"/>
      <c r="M62" s="257"/>
      <c r="N62" s="382"/>
      <c r="O62" s="383"/>
      <c r="P62" s="384"/>
      <c r="Q62" s="385"/>
    </row>
    <row r="63" spans="1:24" x14ac:dyDescent="0.2">
      <c r="A63" s="372"/>
      <c r="B63" s="435" t="s">
        <v>839</v>
      </c>
      <c r="C63" s="436">
        <v>8</v>
      </c>
      <c r="D63" s="374" t="s">
        <v>841</v>
      </c>
      <c r="E63" s="997"/>
      <c r="F63" s="997"/>
      <c r="G63" s="258"/>
      <c r="H63" s="377"/>
      <c r="I63" s="255"/>
      <c r="J63" s="257"/>
      <c r="K63" s="304"/>
      <c r="L63" s="380"/>
      <c r="M63" s="257"/>
      <c r="N63" s="382"/>
      <c r="O63" s="383"/>
      <c r="P63" s="384"/>
      <c r="Q63" s="385"/>
    </row>
    <row r="64" spans="1:24" x14ac:dyDescent="0.2">
      <c r="A64" s="372"/>
      <c r="B64" s="435" t="s">
        <v>840</v>
      </c>
      <c r="C64" s="436">
        <v>5.5</v>
      </c>
      <c r="D64" s="374" t="s">
        <v>841</v>
      </c>
      <c r="E64" s="997"/>
      <c r="F64" s="997"/>
      <c r="L64" s="380"/>
      <c r="M64" s="257"/>
      <c r="N64" s="382"/>
      <c r="O64" s="383"/>
      <c r="P64" s="384"/>
      <c r="Q64" s="385"/>
    </row>
    <row r="65" spans="1:17" ht="13.5" thickBot="1" x14ac:dyDescent="0.25">
      <c r="A65" s="372"/>
      <c r="B65" s="437"/>
      <c r="C65" s="156"/>
      <c r="D65" s="156"/>
      <c r="E65" s="998"/>
      <c r="F65" s="998"/>
      <c r="L65" s="380"/>
      <c r="M65" s="257"/>
      <c r="N65" s="423"/>
      <c r="O65" s="438"/>
      <c r="P65" s="439"/>
      <c r="Q65" s="385"/>
    </row>
    <row r="66" spans="1:17" ht="13.5" thickBot="1" x14ac:dyDescent="0.25">
      <c r="A66" s="389"/>
      <c r="B66" s="5"/>
      <c r="C66" s="373"/>
      <c r="D66" s="374"/>
      <c r="E66" s="255"/>
      <c r="F66" s="375"/>
      <c r="G66" s="376"/>
      <c r="H66" s="377"/>
      <c r="I66" s="375"/>
      <c r="J66" s="378"/>
      <c r="K66" s="813"/>
      <c r="L66" s="157"/>
      <c r="M66" s="157"/>
      <c r="O66" s="438"/>
      <c r="P66" s="439"/>
      <c r="Q66" s="385"/>
    </row>
    <row r="67" spans="1:17" ht="13.5" thickTop="1" x14ac:dyDescent="0.2">
      <c r="A67" s="389"/>
      <c r="B67" s="414"/>
      <c r="C67" s="390"/>
      <c r="D67" s="374"/>
      <c r="E67" s="255"/>
      <c r="F67" s="375"/>
      <c r="G67" s="376"/>
      <c r="H67" s="377"/>
      <c r="I67" s="375"/>
      <c r="J67" s="391" t="s">
        <v>30</v>
      </c>
      <c r="K67" s="812">
        <f>SUM(K59:K66)</f>
        <v>2816.89</v>
      </c>
      <c r="L67" s="157"/>
      <c r="M67" s="157"/>
      <c r="O67" s="412"/>
      <c r="P67" s="413"/>
      <c r="Q67" s="385"/>
    </row>
    <row r="68" spans="1:17" ht="13.5" thickBot="1" x14ac:dyDescent="0.25">
      <c r="A68" s="355" t="s">
        <v>0</v>
      </c>
      <c r="B68" s="356" t="s">
        <v>1</v>
      </c>
      <c r="C68" s="948" t="s">
        <v>656</v>
      </c>
      <c r="D68" s="948"/>
      <c r="E68" s="948"/>
      <c r="F68" s="948"/>
      <c r="G68" s="948" t="s">
        <v>34</v>
      </c>
      <c r="H68" s="948"/>
      <c r="I68" s="948"/>
      <c r="J68" s="357"/>
      <c r="K68" s="358"/>
      <c r="L68" s="393"/>
      <c r="M68" s="357"/>
      <c r="N68" s="440"/>
      <c r="O68" s="383"/>
      <c r="P68" s="384"/>
      <c r="Q68" s="385"/>
    </row>
    <row r="69" spans="1:17" ht="16.5" thickBot="1" x14ac:dyDescent="0.3">
      <c r="A69" s="396" t="s">
        <v>143</v>
      </c>
      <c r="B69" s="397" t="s">
        <v>144</v>
      </c>
      <c r="C69" s="398" t="s">
        <v>19</v>
      </c>
      <c r="D69" s="399" t="s">
        <v>33</v>
      </c>
      <c r="E69" s="400" t="s">
        <v>35</v>
      </c>
      <c r="F69" s="401" t="s">
        <v>30</v>
      </c>
      <c r="G69" s="402" t="s">
        <v>14</v>
      </c>
      <c r="H69" s="400" t="s">
        <v>35</v>
      </c>
      <c r="I69" s="401" t="s">
        <v>30</v>
      </c>
      <c r="J69" s="366" t="s">
        <v>659</v>
      </c>
      <c r="K69" s="403" t="s">
        <v>38</v>
      </c>
      <c r="L69" s="404"/>
      <c r="M69" s="410"/>
      <c r="N69" s="411"/>
      <c r="O69" s="383"/>
      <c r="P69" s="384"/>
      <c r="Q69" s="385"/>
    </row>
    <row r="70" spans="1:17" x14ac:dyDescent="0.2">
      <c r="A70" s="407" t="s">
        <v>869</v>
      </c>
      <c r="B70" s="408" t="s">
        <v>48</v>
      </c>
      <c r="C70" s="373"/>
      <c r="D70" s="374" t="s">
        <v>21</v>
      </c>
      <c r="E70" s="255">
        <v>2500</v>
      </c>
      <c r="F70" s="375">
        <f>C70*E70</f>
        <v>0</v>
      </c>
      <c r="G70" s="376"/>
      <c r="H70" s="377">
        <v>0</v>
      </c>
      <c r="I70" s="375">
        <f>G70*H70</f>
        <v>0</v>
      </c>
      <c r="J70" s="378"/>
      <c r="K70" s="379">
        <f>F70+I70+J70</f>
        <v>0</v>
      </c>
      <c r="L70" s="380"/>
      <c r="M70" s="381"/>
      <c r="N70" s="382"/>
      <c r="O70" s="383"/>
      <c r="P70" s="384"/>
      <c r="Q70" s="385"/>
    </row>
    <row r="71" spans="1:17" x14ac:dyDescent="0.2">
      <c r="A71" s="372" t="s">
        <v>870</v>
      </c>
      <c r="B71" s="5" t="s">
        <v>49</v>
      </c>
      <c r="C71" s="373"/>
      <c r="D71" s="374" t="s">
        <v>21</v>
      </c>
      <c r="E71" s="255">
        <v>2500</v>
      </c>
      <c r="F71" s="375">
        <f>C71*E71</f>
        <v>0</v>
      </c>
      <c r="G71" s="376"/>
      <c r="H71" s="377">
        <v>0</v>
      </c>
      <c r="I71" s="375">
        <f>G71*H71</f>
        <v>0</v>
      </c>
      <c r="J71" s="378"/>
      <c r="K71" s="379">
        <f>F71+I71+J71</f>
        <v>0</v>
      </c>
      <c r="L71" s="380"/>
      <c r="M71" s="381"/>
      <c r="N71" s="382"/>
      <c r="O71" s="383"/>
      <c r="P71" s="384"/>
      <c r="Q71" s="385"/>
    </row>
    <row r="72" spans="1:17" x14ac:dyDescent="0.2">
      <c r="A72" s="372" t="s">
        <v>871</v>
      </c>
      <c r="B72" s="5" t="s">
        <v>50</v>
      </c>
      <c r="C72" s="373"/>
      <c r="D72" s="374" t="s">
        <v>21</v>
      </c>
      <c r="E72" s="255">
        <v>3000</v>
      </c>
      <c r="F72" s="375">
        <f>C72*E72</f>
        <v>0</v>
      </c>
      <c r="G72" s="376"/>
      <c r="H72" s="377">
        <v>0</v>
      </c>
      <c r="I72" s="375">
        <f>G72*H72</f>
        <v>0</v>
      </c>
      <c r="J72" s="378"/>
      <c r="K72" s="379">
        <f>F72+I72+J72</f>
        <v>0</v>
      </c>
      <c r="L72" s="380"/>
      <c r="M72" s="381"/>
      <c r="N72" s="382"/>
      <c r="O72" s="383"/>
      <c r="P72" s="384"/>
      <c r="Q72" s="385"/>
    </row>
    <row r="73" spans="1:17" x14ac:dyDescent="0.2">
      <c r="A73" s="372" t="s">
        <v>872</v>
      </c>
      <c r="B73" s="5" t="s">
        <v>145</v>
      </c>
      <c r="C73" s="373"/>
      <c r="D73" s="374" t="s">
        <v>21</v>
      </c>
      <c r="E73" s="255">
        <v>0</v>
      </c>
      <c r="F73" s="375">
        <f>C73*E73</f>
        <v>0</v>
      </c>
      <c r="G73" s="376"/>
      <c r="H73" s="377">
        <v>0</v>
      </c>
      <c r="I73" s="375">
        <f>G73*H73</f>
        <v>0</v>
      </c>
      <c r="J73" s="378"/>
      <c r="K73" s="379">
        <f>F73+I73+J73</f>
        <v>0</v>
      </c>
      <c r="L73" s="380"/>
      <c r="M73" s="381"/>
      <c r="N73" s="382"/>
      <c r="O73" s="383"/>
      <c r="P73" s="384"/>
      <c r="Q73" s="385"/>
    </row>
    <row r="74" spans="1:17" x14ac:dyDescent="0.2">
      <c r="A74" s="372" t="s">
        <v>873</v>
      </c>
      <c r="B74" s="5" t="s">
        <v>81</v>
      </c>
      <c r="C74" s="373"/>
      <c r="D74" s="374" t="s">
        <v>21</v>
      </c>
      <c r="E74" s="255">
        <v>0</v>
      </c>
      <c r="F74" s="375">
        <f>C74*E74</f>
        <v>0</v>
      </c>
      <c r="G74" s="376"/>
      <c r="H74" s="377">
        <v>0</v>
      </c>
      <c r="I74" s="375">
        <f>G74*H74</f>
        <v>0</v>
      </c>
      <c r="J74" s="378"/>
      <c r="K74" s="379">
        <f>F74+I74+J74</f>
        <v>0</v>
      </c>
      <c r="L74" s="380"/>
      <c r="M74" s="381"/>
      <c r="N74" s="382"/>
      <c r="O74" s="383"/>
      <c r="P74" s="384"/>
      <c r="Q74" s="385"/>
    </row>
    <row r="75" spans="1:17" ht="13.5" thickBot="1" x14ac:dyDescent="0.25">
      <c r="A75" s="389"/>
      <c r="B75" s="414"/>
      <c r="C75" s="390"/>
      <c r="D75" s="374"/>
      <c r="E75" s="255"/>
      <c r="F75" s="375"/>
      <c r="G75" s="376"/>
      <c r="H75" s="377"/>
      <c r="I75" s="375"/>
      <c r="J75" s="378"/>
      <c r="K75" s="304"/>
      <c r="L75" s="380"/>
      <c r="M75" s="381"/>
      <c r="N75" s="382"/>
      <c r="O75" s="383"/>
      <c r="P75" s="384"/>
      <c r="Q75" s="385"/>
    </row>
    <row r="76" spans="1:17" ht="13.5" thickTop="1" x14ac:dyDescent="0.2">
      <c r="A76" s="389"/>
      <c r="B76" s="414"/>
      <c r="C76" s="390"/>
      <c r="D76" s="374"/>
      <c r="E76" s="255"/>
      <c r="F76" s="375"/>
      <c r="G76" s="376"/>
      <c r="H76" s="377"/>
      <c r="I76" s="375"/>
      <c r="J76" s="391" t="s">
        <v>30</v>
      </c>
      <c r="K76" s="392">
        <f>SUM(K70:K75)</f>
        <v>0</v>
      </c>
      <c r="L76" s="380"/>
      <c r="M76" s="381"/>
      <c r="N76" s="382"/>
      <c r="O76" s="383"/>
      <c r="P76" s="384"/>
      <c r="Q76" s="385"/>
    </row>
    <row r="77" spans="1:17" ht="13.5" thickBot="1" x14ac:dyDescent="0.25">
      <c r="A77" s="355" t="s">
        <v>0</v>
      </c>
      <c r="B77" s="356" t="s">
        <v>1</v>
      </c>
      <c r="C77" s="948" t="s">
        <v>656</v>
      </c>
      <c r="D77" s="948"/>
      <c r="E77" s="948"/>
      <c r="F77" s="948"/>
      <c r="G77" s="948" t="s">
        <v>34</v>
      </c>
      <c r="H77" s="948"/>
      <c r="I77" s="948"/>
      <c r="J77" s="357"/>
      <c r="K77" s="358"/>
      <c r="L77" s="393"/>
      <c r="M77" s="394"/>
      <c r="N77" s="395"/>
      <c r="O77" s="383"/>
      <c r="P77" s="384"/>
      <c r="Q77" s="385"/>
    </row>
    <row r="78" spans="1:17" ht="16.5" thickBot="1" x14ac:dyDescent="0.3">
      <c r="A78" s="396" t="s">
        <v>106</v>
      </c>
      <c r="B78" s="397" t="s">
        <v>107</v>
      </c>
      <c r="C78" s="398" t="s">
        <v>19</v>
      </c>
      <c r="D78" s="399" t="s">
        <v>33</v>
      </c>
      <c r="E78" s="400" t="s">
        <v>35</v>
      </c>
      <c r="F78" s="401" t="s">
        <v>30</v>
      </c>
      <c r="G78" s="402" t="s">
        <v>14</v>
      </c>
      <c r="H78" s="400" t="s">
        <v>35</v>
      </c>
      <c r="I78" s="401" t="s">
        <v>30</v>
      </c>
      <c r="J78" s="366" t="s">
        <v>659</v>
      </c>
      <c r="K78" s="403" t="s">
        <v>38</v>
      </c>
      <c r="L78" s="404"/>
      <c r="M78" s="405"/>
      <c r="N78" s="406"/>
      <c r="O78" s="383"/>
      <c r="P78" s="384"/>
      <c r="Q78" s="385"/>
    </row>
    <row r="79" spans="1:17" x14ac:dyDescent="0.2">
      <c r="A79" s="407" t="s">
        <v>862</v>
      </c>
      <c r="B79" s="408" t="s">
        <v>133</v>
      </c>
      <c r="C79" s="373"/>
      <c r="D79" s="374" t="s">
        <v>731</v>
      </c>
      <c r="E79" s="255">
        <v>0</v>
      </c>
      <c r="F79" s="375">
        <f t="shared" ref="F79:F85" si="6">C79*E79</f>
        <v>0</v>
      </c>
      <c r="G79" s="376"/>
      <c r="H79" s="377">
        <v>0</v>
      </c>
      <c r="I79" s="375">
        <f t="shared" ref="I79:I85" si="7">G79*H79</f>
        <v>0</v>
      </c>
      <c r="J79" s="378"/>
      <c r="K79" s="379">
        <f t="shared" ref="K79:K85" si="8">F79+I79+J79</f>
        <v>0</v>
      </c>
      <c r="L79" s="380"/>
      <c r="M79" s="381"/>
      <c r="N79" s="382"/>
      <c r="O79" s="383"/>
      <c r="P79" s="384"/>
      <c r="Q79" s="385"/>
    </row>
    <row r="80" spans="1:17" x14ac:dyDescent="0.2">
      <c r="A80" s="372" t="s">
        <v>863</v>
      </c>
      <c r="B80" s="5" t="s">
        <v>128</v>
      </c>
      <c r="C80" s="373"/>
      <c r="D80" s="374" t="s">
        <v>731</v>
      </c>
      <c r="E80" s="255">
        <v>100</v>
      </c>
      <c r="F80" s="375">
        <f t="shared" si="6"/>
        <v>0</v>
      </c>
      <c r="G80" s="376"/>
      <c r="H80" s="377">
        <v>0</v>
      </c>
      <c r="I80" s="375">
        <f t="shared" si="7"/>
        <v>0</v>
      </c>
      <c r="J80" s="378"/>
      <c r="K80" s="379">
        <f t="shared" si="8"/>
        <v>0</v>
      </c>
      <c r="L80" s="380"/>
      <c r="M80" s="381"/>
      <c r="N80" s="382"/>
      <c r="O80" s="383"/>
      <c r="P80" s="384"/>
      <c r="Q80" s="385"/>
    </row>
    <row r="81" spans="1:17" x14ac:dyDescent="0.2">
      <c r="A81" s="372" t="s">
        <v>864</v>
      </c>
      <c r="B81" s="5" t="s">
        <v>51</v>
      </c>
      <c r="C81" s="373"/>
      <c r="D81" s="374" t="s">
        <v>731</v>
      </c>
      <c r="E81" s="255">
        <v>0</v>
      </c>
      <c r="F81" s="375">
        <f t="shared" si="6"/>
        <v>0</v>
      </c>
      <c r="G81" s="376"/>
      <c r="H81" s="377">
        <v>0</v>
      </c>
      <c r="I81" s="375">
        <f t="shared" si="7"/>
        <v>0</v>
      </c>
      <c r="J81" s="378"/>
      <c r="K81" s="379">
        <f t="shared" si="8"/>
        <v>0</v>
      </c>
      <c r="L81" s="380"/>
      <c r="M81" s="381"/>
      <c r="N81" s="382"/>
      <c r="O81" s="383"/>
      <c r="P81" s="384"/>
      <c r="Q81" s="385"/>
    </row>
    <row r="82" spans="1:17" x14ac:dyDescent="0.2">
      <c r="A82" s="372" t="s">
        <v>865</v>
      </c>
      <c r="B82" s="5" t="s">
        <v>129</v>
      </c>
      <c r="C82" s="373"/>
      <c r="D82" s="374" t="s">
        <v>731</v>
      </c>
      <c r="E82" s="255">
        <v>0</v>
      </c>
      <c r="F82" s="375">
        <f t="shared" si="6"/>
        <v>0</v>
      </c>
      <c r="G82" s="376"/>
      <c r="H82" s="377">
        <v>0</v>
      </c>
      <c r="I82" s="375">
        <f t="shared" si="7"/>
        <v>0</v>
      </c>
      <c r="J82" s="378"/>
      <c r="K82" s="379">
        <f t="shared" si="8"/>
        <v>0</v>
      </c>
      <c r="L82" s="380"/>
      <c r="M82" s="381"/>
      <c r="N82" s="382"/>
      <c r="O82" s="383"/>
      <c r="P82" s="384"/>
      <c r="Q82" s="385"/>
    </row>
    <row r="83" spans="1:17" x14ac:dyDescent="0.2">
      <c r="A83" s="372" t="s">
        <v>866</v>
      </c>
      <c r="B83" s="5" t="s">
        <v>130</v>
      </c>
      <c r="C83" s="373"/>
      <c r="D83" s="374" t="s">
        <v>731</v>
      </c>
      <c r="E83" s="255">
        <v>0</v>
      </c>
      <c r="F83" s="375">
        <f t="shared" si="6"/>
        <v>0</v>
      </c>
      <c r="G83" s="376"/>
      <c r="H83" s="377">
        <v>0</v>
      </c>
      <c r="I83" s="375">
        <f t="shared" si="7"/>
        <v>0</v>
      </c>
      <c r="J83" s="378"/>
      <c r="K83" s="379">
        <f t="shared" si="8"/>
        <v>0</v>
      </c>
      <c r="L83" s="380"/>
      <c r="M83" s="381"/>
      <c r="N83" s="382"/>
      <c r="O83" s="383"/>
      <c r="P83" s="384"/>
      <c r="Q83" s="385"/>
    </row>
    <row r="84" spans="1:17" x14ac:dyDescent="0.2">
      <c r="A84" s="372" t="s">
        <v>867</v>
      </c>
      <c r="B84" s="5" t="s">
        <v>131</v>
      </c>
      <c r="C84" s="373"/>
      <c r="D84" s="374" t="s">
        <v>731</v>
      </c>
      <c r="E84" s="255">
        <v>0</v>
      </c>
      <c r="F84" s="375">
        <f t="shared" si="6"/>
        <v>0</v>
      </c>
      <c r="G84" s="376"/>
      <c r="H84" s="377">
        <v>0</v>
      </c>
      <c r="I84" s="375">
        <f t="shared" si="7"/>
        <v>0</v>
      </c>
      <c r="J84" s="378"/>
      <c r="K84" s="379">
        <f t="shared" si="8"/>
        <v>0</v>
      </c>
      <c r="L84" s="380"/>
      <c r="M84" s="381"/>
      <c r="N84" s="382"/>
      <c r="O84" s="383"/>
      <c r="P84" s="384"/>
      <c r="Q84" s="385"/>
    </row>
    <row r="85" spans="1:17" x14ac:dyDescent="0.2">
      <c r="A85" s="372" t="s">
        <v>868</v>
      </c>
      <c r="B85" s="5" t="s">
        <v>132</v>
      </c>
      <c r="C85" s="373"/>
      <c r="D85" s="374" t="s">
        <v>731</v>
      </c>
      <c r="E85" s="255">
        <v>0</v>
      </c>
      <c r="F85" s="375">
        <f t="shared" si="6"/>
        <v>0</v>
      </c>
      <c r="G85" s="376"/>
      <c r="H85" s="377">
        <v>0</v>
      </c>
      <c r="I85" s="375">
        <f t="shared" si="7"/>
        <v>0</v>
      </c>
      <c r="J85" s="378"/>
      <c r="K85" s="379">
        <f t="shared" si="8"/>
        <v>0</v>
      </c>
      <c r="L85" s="380"/>
      <c r="M85" s="381"/>
      <c r="N85" s="382"/>
      <c r="O85" s="383"/>
      <c r="P85" s="384"/>
      <c r="Q85" s="385"/>
    </row>
    <row r="86" spans="1:17" ht="13.5" thickBot="1" x14ac:dyDescent="0.25">
      <c r="A86" s="389"/>
      <c r="B86" s="5"/>
      <c r="C86" s="390"/>
      <c r="D86" s="374"/>
      <c r="E86" s="255"/>
      <c r="F86" s="375"/>
      <c r="G86" s="376"/>
      <c r="H86" s="377"/>
      <c r="I86" s="375"/>
      <c r="J86" s="378"/>
      <c r="K86" s="811"/>
      <c r="L86" s="157"/>
      <c r="M86" s="157"/>
      <c r="O86" s="383"/>
      <c r="P86" s="384"/>
      <c r="Q86" s="385"/>
    </row>
    <row r="87" spans="1:17" ht="13.5" thickTop="1" x14ac:dyDescent="0.2">
      <c r="A87" s="389"/>
      <c r="B87" s="414"/>
      <c r="C87" s="390"/>
      <c r="D87" s="374"/>
      <c r="E87" s="255"/>
      <c r="F87" s="375"/>
      <c r="G87" s="376"/>
      <c r="H87" s="377"/>
      <c r="I87" s="375"/>
      <c r="J87" s="391" t="s">
        <v>30</v>
      </c>
      <c r="K87" s="812">
        <f>SUM(K79:K86)</f>
        <v>0</v>
      </c>
      <c r="L87" s="157"/>
      <c r="M87" s="157"/>
      <c r="O87" s="383"/>
      <c r="P87" s="384"/>
      <c r="Q87" s="385"/>
    </row>
    <row r="88" spans="1:17" ht="13.5" thickBot="1" x14ac:dyDescent="0.25">
      <c r="A88" s="355" t="s">
        <v>0</v>
      </c>
      <c r="B88" s="356" t="s">
        <v>1</v>
      </c>
      <c r="C88" s="948" t="s">
        <v>656</v>
      </c>
      <c r="D88" s="948"/>
      <c r="E88" s="948"/>
      <c r="F88" s="948"/>
      <c r="G88" s="948" t="s">
        <v>34</v>
      </c>
      <c r="H88" s="948"/>
      <c r="I88" s="948"/>
      <c r="J88" s="357"/>
      <c r="K88" s="358"/>
      <c r="L88" s="393"/>
      <c r="M88" s="394"/>
      <c r="N88" s="395"/>
      <c r="O88" s="383"/>
      <c r="P88" s="384"/>
      <c r="Q88" s="385"/>
    </row>
    <row r="89" spans="1:17" ht="16.5" thickBot="1" x14ac:dyDescent="0.3">
      <c r="A89" s="396" t="s">
        <v>109</v>
      </c>
      <c r="B89" s="397" t="s">
        <v>108</v>
      </c>
      <c r="C89" s="398" t="s">
        <v>19</v>
      </c>
      <c r="D89" s="399" t="s">
        <v>33</v>
      </c>
      <c r="E89" s="400" t="s">
        <v>35</v>
      </c>
      <c r="F89" s="401" t="s">
        <v>30</v>
      </c>
      <c r="G89" s="402" t="s">
        <v>14</v>
      </c>
      <c r="H89" s="400" t="s">
        <v>35</v>
      </c>
      <c r="I89" s="401" t="s">
        <v>30</v>
      </c>
      <c r="J89" s="366" t="s">
        <v>659</v>
      </c>
      <c r="K89" s="403" t="s">
        <v>38</v>
      </c>
      <c r="L89" s="404"/>
      <c r="M89" s="405"/>
      <c r="N89" s="406"/>
      <c r="O89" s="383"/>
      <c r="P89" s="384"/>
      <c r="Q89" s="385"/>
    </row>
    <row r="90" spans="1:17" ht="13.5" thickBot="1" x14ac:dyDescent="0.25">
      <c r="A90" s="407" t="s">
        <v>857</v>
      </c>
      <c r="B90" s="408" t="s">
        <v>146</v>
      </c>
      <c r="C90" s="373"/>
      <c r="D90" s="374" t="s">
        <v>734</v>
      </c>
      <c r="E90" s="255">
        <v>750</v>
      </c>
      <c r="F90" s="375">
        <f t="shared" ref="F90:F95" si="9">C90*E90</f>
        <v>0</v>
      </c>
      <c r="G90" s="376"/>
      <c r="H90" s="377">
        <v>0</v>
      </c>
      <c r="I90" s="375">
        <f>G90*H90</f>
        <v>0</v>
      </c>
      <c r="J90" s="378"/>
      <c r="K90" s="379">
        <f t="shared" ref="K90:K95" si="10">F90+I90+J90</f>
        <v>0</v>
      </c>
      <c r="L90" s="380"/>
      <c r="M90" s="381"/>
      <c r="N90" s="382"/>
      <c r="O90" s="383"/>
      <c r="P90" s="384"/>
      <c r="Q90" s="385"/>
    </row>
    <row r="91" spans="1:17" x14ac:dyDescent="0.2">
      <c r="A91" s="407" t="s">
        <v>857</v>
      </c>
      <c r="B91" s="5" t="s">
        <v>981</v>
      </c>
      <c r="C91" s="373"/>
      <c r="D91" s="374" t="s">
        <v>732</v>
      </c>
      <c r="E91" s="255">
        <v>1840</v>
      </c>
      <c r="F91" s="375">
        <f t="shared" si="9"/>
        <v>0</v>
      </c>
      <c r="G91" s="376"/>
      <c r="H91" s="377"/>
      <c r="I91" s="375"/>
      <c r="J91" s="378"/>
      <c r="K91" s="379">
        <f t="shared" si="10"/>
        <v>0</v>
      </c>
      <c r="L91" s="380"/>
      <c r="M91" s="381"/>
      <c r="N91" s="382"/>
      <c r="O91" s="383"/>
      <c r="P91" s="384"/>
      <c r="Q91" s="385"/>
    </row>
    <row r="92" spans="1:17" x14ac:dyDescent="0.2">
      <c r="A92" s="372" t="s">
        <v>858</v>
      </c>
      <c r="B92" s="5" t="s">
        <v>134</v>
      </c>
      <c r="C92" s="373"/>
      <c r="D92" s="374" t="s">
        <v>731</v>
      </c>
      <c r="E92" s="255">
        <v>50</v>
      </c>
      <c r="F92" s="375">
        <f t="shared" si="9"/>
        <v>0</v>
      </c>
      <c r="G92" s="376"/>
      <c r="H92" s="377">
        <v>0</v>
      </c>
      <c r="I92" s="375">
        <f>G92*H92</f>
        <v>0</v>
      </c>
      <c r="J92" s="378"/>
      <c r="K92" s="379">
        <f t="shared" si="10"/>
        <v>0</v>
      </c>
      <c r="L92" s="380"/>
      <c r="M92" s="381"/>
      <c r="N92" s="382"/>
      <c r="O92" s="383"/>
      <c r="P92" s="384"/>
      <c r="Q92" s="385"/>
    </row>
    <row r="93" spans="1:17" x14ac:dyDescent="0.2">
      <c r="A93" s="372" t="s">
        <v>859</v>
      </c>
      <c r="B93" s="5" t="s">
        <v>147</v>
      </c>
      <c r="C93" s="441">
        <f>SUM('Estimate Summary'!H17:H61)/1000</f>
        <v>598.98224000000005</v>
      </c>
      <c r="D93" s="374" t="s">
        <v>20</v>
      </c>
      <c r="E93" s="255">
        <v>0.55000000000000004</v>
      </c>
      <c r="F93" s="375">
        <f t="shared" si="9"/>
        <v>329.44023200000004</v>
      </c>
      <c r="G93" s="376"/>
      <c r="H93" s="377">
        <v>0</v>
      </c>
      <c r="I93" s="375">
        <f>G93*H93</f>
        <v>0</v>
      </c>
      <c r="J93" s="378"/>
      <c r="K93" s="379">
        <f t="shared" si="10"/>
        <v>329.44023200000004</v>
      </c>
      <c r="L93" s="380"/>
      <c r="M93" s="381"/>
      <c r="N93" s="382"/>
      <c r="O93" s="383"/>
      <c r="P93" s="384"/>
      <c r="Q93" s="385"/>
    </row>
    <row r="94" spans="1:17" x14ac:dyDescent="0.2">
      <c r="A94" s="372" t="s">
        <v>860</v>
      </c>
      <c r="B94" s="5" t="s">
        <v>148</v>
      </c>
      <c r="C94" s="373">
        <f>J6</f>
        <v>13</v>
      </c>
      <c r="D94" s="374" t="s">
        <v>731</v>
      </c>
      <c r="E94" s="255">
        <v>125</v>
      </c>
      <c r="F94" s="375">
        <f t="shared" si="9"/>
        <v>1625</v>
      </c>
      <c r="G94" s="376"/>
      <c r="H94" s="377">
        <v>0</v>
      </c>
      <c r="I94" s="375">
        <f>G94*H94</f>
        <v>0</v>
      </c>
      <c r="J94" s="378"/>
      <c r="K94" s="813">
        <f t="shared" si="10"/>
        <v>1625</v>
      </c>
      <c r="L94" s="157"/>
      <c r="M94" s="157"/>
      <c r="O94" s="383"/>
      <c r="P94" s="384"/>
      <c r="Q94" s="385"/>
    </row>
    <row r="95" spans="1:17" x14ac:dyDescent="0.2">
      <c r="A95" s="372" t="s">
        <v>861</v>
      </c>
      <c r="B95" s="5" t="s">
        <v>18</v>
      </c>
      <c r="C95" s="373">
        <v>1</v>
      </c>
      <c r="D95" s="374" t="s">
        <v>732</v>
      </c>
      <c r="E95" s="255">
        <v>200</v>
      </c>
      <c r="F95" s="375">
        <f t="shared" si="9"/>
        <v>200</v>
      </c>
      <c r="G95" s="376"/>
      <c r="H95" s="377">
        <v>0</v>
      </c>
      <c r="I95" s="375">
        <f>G95*H95</f>
        <v>0</v>
      </c>
      <c r="J95" s="378"/>
      <c r="K95" s="813">
        <f t="shared" si="10"/>
        <v>200</v>
      </c>
      <c r="L95" s="157"/>
      <c r="M95" s="157"/>
      <c r="O95" s="383"/>
      <c r="P95" s="384"/>
      <c r="Q95" s="385"/>
    </row>
    <row r="96" spans="1:17" ht="13.5" thickBot="1" x14ac:dyDescent="0.25">
      <c r="A96" s="389"/>
      <c r="B96" s="5"/>
      <c r="C96" s="390"/>
      <c r="D96" s="374"/>
      <c r="E96" s="255"/>
      <c r="F96" s="375"/>
      <c r="G96" s="376"/>
      <c r="H96" s="377"/>
      <c r="I96" s="375"/>
      <c r="J96" s="378"/>
      <c r="K96" s="814"/>
      <c r="L96" s="468"/>
      <c r="M96" s="381"/>
      <c r="N96" s="382"/>
      <c r="O96" s="383"/>
      <c r="P96" s="384"/>
      <c r="Q96" s="385"/>
    </row>
    <row r="97" spans="1:17" ht="13.5" thickTop="1" x14ac:dyDescent="0.2">
      <c r="A97" s="389"/>
      <c r="B97" s="414"/>
      <c r="C97" s="390"/>
      <c r="D97" s="374"/>
      <c r="E97" s="255"/>
      <c r="F97" s="375"/>
      <c r="G97" s="376"/>
      <c r="H97" s="377"/>
      <c r="I97" s="375"/>
      <c r="J97" s="391" t="s">
        <v>30</v>
      </c>
      <c r="K97" s="392">
        <f>SUM(K90:K96)</f>
        <v>2154.4402319999999</v>
      </c>
      <c r="L97" s="380"/>
      <c r="M97" s="381"/>
      <c r="N97" s="382"/>
      <c r="O97" s="383"/>
      <c r="P97" s="384"/>
      <c r="Q97" s="385"/>
    </row>
    <row r="98" spans="1:17" ht="13.5" thickBot="1" x14ac:dyDescent="0.25">
      <c r="A98" s="355" t="s">
        <v>0</v>
      </c>
      <c r="B98" s="356" t="s">
        <v>1</v>
      </c>
      <c r="C98" s="948" t="s">
        <v>656</v>
      </c>
      <c r="D98" s="948"/>
      <c r="E98" s="948"/>
      <c r="F98" s="948"/>
      <c r="G98" s="948" t="s">
        <v>34</v>
      </c>
      <c r="H98" s="948"/>
      <c r="I98" s="948"/>
      <c r="J98" s="357"/>
      <c r="K98" s="358"/>
      <c r="L98" s="393"/>
      <c r="M98" s="394"/>
      <c r="N98" s="395"/>
      <c r="O98" s="383"/>
      <c r="P98" s="384"/>
      <c r="Q98" s="385"/>
    </row>
    <row r="99" spans="1:17" ht="16.5" thickBot="1" x14ac:dyDescent="0.3">
      <c r="A99" s="396" t="s">
        <v>110</v>
      </c>
      <c r="B99" s="397" t="s">
        <v>111</v>
      </c>
      <c r="C99" s="398" t="s">
        <v>19</v>
      </c>
      <c r="D99" s="399" t="s">
        <v>33</v>
      </c>
      <c r="E99" s="400" t="s">
        <v>35</v>
      </c>
      <c r="F99" s="401" t="s">
        <v>30</v>
      </c>
      <c r="G99" s="402" t="s">
        <v>14</v>
      </c>
      <c r="H99" s="400" t="s">
        <v>35</v>
      </c>
      <c r="I99" s="401" t="s">
        <v>30</v>
      </c>
      <c r="J99" s="366" t="s">
        <v>659</v>
      </c>
      <c r="K99" s="403" t="s">
        <v>38</v>
      </c>
      <c r="L99" s="404"/>
      <c r="M99" s="405"/>
      <c r="N99" s="406"/>
      <c r="O99" s="383"/>
      <c r="P99" s="384"/>
      <c r="Q99" s="385"/>
    </row>
    <row r="100" spans="1:17" x14ac:dyDescent="0.2">
      <c r="A100" s="407" t="s">
        <v>854</v>
      </c>
      <c r="B100" s="408" t="s">
        <v>135</v>
      </c>
      <c r="C100" s="373"/>
      <c r="D100" s="374" t="s">
        <v>21</v>
      </c>
      <c r="E100" s="255">
        <v>0</v>
      </c>
      <c r="F100" s="375">
        <f>C100*E100</f>
        <v>0</v>
      </c>
      <c r="G100" s="376"/>
      <c r="H100" s="377">
        <v>0</v>
      </c>
      <c r="I100" s="375">
        <f>G100*H100</f>
        <v>0</v>
      </c>
      <c r="J100" s="378"/>
      <c r="K100" s="379">
        <f>F100+I100+J100</f>
        <v>0</v>
      </c>
      <c r="L100" s="380"/>
      <c r="M100" s="381"/>
      <c r="N100" s="382"/>
      <c r="O100" s="383"/>
      <c r="P100" s="384"/>
      <c r="Q100" s="385"/>
    </row>
    <row r="101" spans="1:17" x14ac:dyDescent="0.2">
      <c r="A101" s="372" t="s">
        <v>855</v>
      </c>
      <c r="B101" s="5" t="s">
        <v>926</v>
      </c>
      <c r="C101" s="373"/>
      <c r="D101" s="374" t="s">
        <v>21</v>
      </c>
      <c r="E101" s="255">
        <v>0</v>
      </c>
      <c r="F101" s="375">
        <f>C101*E101</f>
        <v>0</v>
      </c>
      <c r="G101" s="376"/>
      <c r="H101" s="377">
        <v>0</v>
      </c>
      <c r="I101" s="375">
        <f>G101*H101</f>
        <v>0</v>
      </c>
      <c r="J101" s="378"/>
      <c r="K101" s="379">
        <f>F101+I101+J101</f>
        <v>0</v>
      </c>
      <c r="L101" s="380"/>
      <c r="M101" s="381"/>
      <c r="N101" s="382"/>
      <c r="O101" s="383"/>
      <c r="P101" s="384"/>
      <c r="Q101" s="385"/>
    </row>
    <row r="102" spans="1:17" x14ac:dyDescent="0.2">
      <c r="A102" s="372" t="s">
        <v>856</v>
      </c>
      <c r="B102" s="5" t="s">
        <v>52</v>
      </c>
      <c r="C102" s="373">
        <f>'Estimate Summary'!E62</f>
        <v>0</v>
      </c>
      <c r="D102" s="374" t="s">
        <v>733</v>
      </c>
      <c r="E102" s="255">
        <v>0</v>
      </c>
      <c r="F102" s="375">
        <f>C102*E102</f>
        <v>0</v>
      </c>
      <c r="G102" s="376"/>
      <c r="H102" s="377">
        <v>0</v>
      </c>
      <c r="I102" s="375">
        <f>G102*H102</f>
        <v>0</v>
      </c>
      <c r="J102" s="378"/>
      <c r="K102" s="379">
        <f>F102+I102+J102</f>
        <v>0</v>
      </c>
      <c r="L102" s="380"/>
      <c r="M102" s="381"/>
      <c r="N102" s="382"/>
      <c r="O102" s="383"/>
      <c r="P102" s="384"/>
      <c r="Q102" s="385"/>
    </row>
    <row r="103" spans="1:17" x14ac:dyDescent="0.2">
      <c r="A103" s="372" t="s">
        <v>975</v>
      </c>
      <c r="B103" s="5" t="s">
        <v>976</v>
      </c>
      <c r="C103" s="441">
        <f>SUM('Estimate Summary'!H17:H63)/1000</f>
        <v>598.98224000000005</v>
      </c>
      <c r="D103" s="418" t="s">
        <v>841</v>
      </c>
      <c r="E103" s="255">
        <v>2.33</v>
      </c>
      <c r="F103" s="375">
        <f>C103*E103</f>
        <v>1395.6286192000002</v>
      </c>
      <c r="G103" s="376"/>
      <c r="H103" s="377">
        <v>0</v>
      </c>
      <c r="I103" s="375">
        <f>G103*H103</f>
        <v>0</v>
      </c>
      <c r="J103" s="378"/>
      <c r="K103" s="379">
        <f>F103+I103+J103</f>
        <v>1395.6286192000002</v>
      </c>
      <c r="L103" s="380"/>
      <c r="M103" s="381"/>
      <c r="N103" s="382"/>
      <c r="O103" s="383"/>
      <c r="P103" s="384"/>
      <c r="Q103" s="385"/>
    </row>
    <row r="104" spans="1:17" ht="13.5" thickBot="1" x14ac:dyDescent="0.25">
      <c r="A104" s="389"/>
      <c r="B104" s="5"/>
      <c r="C104" s="390"/>
      <c r="D104" s="374"/>
      <c r="E104" s="255"/>
      <c r="F104" s="375"/>
      <c r="G104" s="376"/>
      <c r="H104" s="377"/>
      <c r="I104" s="375"/>
      <c r="J104" s="378"/>
      <c r="K104" s="304"/>
      <c r="L104" s="380"/>
      <c r="M104" s="381"/>
      <c r="N104" s="382"/>
      <c r="O104" s="383"/>
      <c r="P104" s="384"/>
      <c r="Q104" s="385"/>
    </row>
    <row r="105" spans="1:17" ht="17.100000000000001" customHeight="1" thickTop="1" x14ac:dyDescent="0.2">
      <c r="A105" s="389"/>
      <c r="C105" s="390"/>
      <c r="D105" s="374"/>
      <c r="E105" s="255"/>
      <c r="F105" s="375"/>
      <c r="G105" s="376"/>
      <c r="H105" s="377"/>
      <c r="I105" s="375"/>
      <c r="J105" s="391" t="s">
        <v>30</v>
      </c>
      <c r="K105" s="392">
        <f>SUM(K100:K104)</f>
        <v>1395.6286192000002</v>
      </c>
      <c r="L105" s="380"/>
      <c r="M105" s="381"/>
      <c r="N105" s="382"/>
      <c r="O105" s="383"/>
      <c r="P105" s="384"/>
      <c r="Q105" s="385"/>
    </row>
    <row r="106" spans="1:17" ht="13.5" thickBot="1" x14ac:dyDescent="0.25">
      <c r="A106" s="355" t="s">
        <v>0</v>
      </c>
      <c r="B106" s="356" t="s">
        <v>1</v>
      </c>
      <c r="C106" s="948" t="s">
        <v>656</v>
      </c>
      <c r="D106" s="948"/>
      <c r="E106" s="948"/>
      <c r="F106" s="948"/>
      <c r="G106" s="948" t="s">
        <v>34</v>
      </c>
      <c r="H106" s="948"/>
      <c r="I106" s="948"/>
      <c r="J106" s="357"/>
      <c r="K106" s="358"/>
      <c r="L106" s="393"/>
      <c r="M106" s="394"/>
      <c r="N106" s="395"/>
      <c r="O106" s="383"/>
      <c r="P106" s="384"/>
      <c r="Q106" s="385"/>
    </row>
    <row r="107" spans="1:17" ht="16.5" thickBot="1" x14ac:dyDescent="0.3">
      <c r="A107" s="396" t="s">
        <v>812</v>
      </c>
      <c r="B107" s="397" t="s">
        <v>756</v>
      </c>
      <c r="C107" s="398" t="s">
        <v>19</v>
      </c>
      <c r="D107" s="399" t="s">
        <v>33</v>
      </c>
      <c r="E107" s="400" t="s">
        <v>35</v>
      </c>
      <c r="F107" s="401" t="s">
        <v>30</v>
      </c>
      <c r="G107" s="402" t="s">
        <v>14</v>
      </c>
      <c r="H107" s="400" t="s">
        <v>35</v>
      </c>
      <c r="I107" s="401" t="s">
        <v>30</v>
      </c>
      <c r="J107" s="366" t="s">
        <v>659</v>
      </c>
      <c r="K107" s="403" t="s">
        <v>38</v>
      </c>
      <c r="L107" s="404"/>
      <c r="M107" s="405"/>
      <c r="N107" s="406"/>
      <c r="O107" s="383"/>
      <c r="P107" s="384"/>
      <c r="Q107" s="385"/>
    </row>
    <row r="108" spans="1:17" x14ac:dyDescent="0.2">
      <c r="A108" s="407"/>
      <c r="B108" s="408"/>
      <c r="C108" s="373"/>
      <c r="D108" s="374"/>
      <c r="E108" s="255"/>
      <c r="F108" s="375"/>
      <c r="G108" s="376"/>
      <c r="H108" s="377"/>
      <c r="I108" s="375"/>
      <c r="J108" s="378"/>
      <c r="K108" s="379"/>
      <c r="L108" s="380"/>
      <c r="M108" s="381"/>
      <c r="N108" s="382"/>
      <c r="O108" s="383"/>
      <c r="P108" s="384"/>
      <c r="Q108" s="385"/>
    </row>
    <row r="109" spans="1:17" x14ac:dyDescent="0.2">
      <c r="A109" s="372" t="s">
        <v>847</v>
      </c>
      <c r="B109" s="157" t="s">
        <v>760</v>
      </c>
      <c r="C109" s="373"/>
      <c r="D109" s="442" t="s">
        <v>761</v>
      </c>
      <c r="E109" s="443">
        <v>602</v>
      </c>
      <c r="F109" s="375">
        <f t="shared" ref="F109:F114" si="11">C109*E109</f>
        <v>0</v>
      </c>
      <c r="G109" s="376"/>
      <c r="H109" s="377"/>
      <c r="I109" s="375"/>
      <c r="J109" s="378"/>
      <c r="K109" s="379">
        <f>F109</f>
        <v>0</v>
      </c>
      <c r="L109" s="380"/>
      <c r="M109" s="381"/>
      <c r="N109" s="382"/>
      <c r="O109" s="383"/>
      <c r="P109" s="384"/>
      <c r="Q109" s="385"/>
    </row>
    <row r="110" spans="1:17" x14ac:dyDescent="0.2">
      <c r="A110" s="372" t="s">
        <v>848</v>
      </c>
      <c r="B110" s="157" t="s">
        <v>763</v>
      </c>
      <c r="C110" s="373"/>
      <c r="D110" s="442" t="s">
        <v>751</v>
      </c>
      <c r="E110" s="443">
        <v>73</v>
      </c>
      <c r="F110" s="375">
        <f t="shared" si="11"/>
        <v>0</v>
      </c>
      <c r="G110" s="376"/>
      <c r="H110" s="377"/>
      <c r="I110" s="375"/>
      <c r="J110" s="378"/>
      <c r="K110" s="813">
        <f t="shared" ref="K110:K114" si="12">F110</f>
        <v>0</v>
      </c>
      <c r="L110" s="157"/>
      <c r="M110" s="157"/>
      <c r="O110" s="383"/>
      <c r="P110" s="384"/>
      <c r="Q110" s="385"/>
    </row>
    <row r="111" spans="1:17" x14ac:dyDescent="0.2">
      <c r="A111" s="372" t="s">
        <v>849</v>
      </c>
      <c r="B111" s="157" t="s">
        <v>764</v>
      </c>
      <c r="C111" s="373"/>
      <c r="D111" s="442" t="s">
        <v>761</v>
      </c>
      <c r="E111" s="443">
        <v>355</v>
      </c>
      <c r="F111" s="375">
        <f t="shared" si="11"/>
        <v>0</v>
      </c>
      <c r="G111" s="376"/>
      <c r="H111" s="377"/>
      <c r="I111" s="375"/>
      <c r="J111" s="378"/>
      <c r="K111" s="813">
        <f t="shared" si="12"/>
        <v>0</v>
      </c>
      <c r="L111" s="157"/>
      <c r="M111" s="157"/>
      <c r="O111" s="383"/>
      <c r="P111" s="384"/>
      <c r="Q111" s="385"/>
    </row>
    <row r="112" spans="1:17" x14ac:dyDescent="0.2">
      <c r="A112" s="372" t="s">
        <v>850</v>
      </c>
      <c r="B112" s="157" t="s">
        <v>765</v>
      </c>
      <c r="C112" s="373"/>
      <c r="D112" s="442" t="s">
        <v>761</v>
      </c>
      <c r="E112" s="443">
        <v>609</v>
      </c>
      <c r="F112" s="375">
        <f t="shared" si="11"/>
        <v>0</v>
      </c>
      <c r="G112" s="376"/>
      <c r="H112" s="377"/>
      <c r="I112" s="375"/>
      <c r="J112" s="378"/>
      <c r="K112" s="379">
        <f t="shared" si="12"/>
        <v>0</v>
      </c>
      <c r="L112" s="380"/>
      <c r="M112" s="381"/>
      <c r="N112" s="382"/>
      <c r="O112" s="383"/>
      <c r="P112" s="384"/>
      <c r="Q112" s="385"/>
    </row>
    <row r="113" spans="1:17" x14ac:dyDescent="0.2">
      <c r="A113" s="372" t="s">
        <v>851</v>
      </c>
      <c r="B113" s="157" t="s">
        <v>770</v>
      </c>
      <c r="C113" s="373"/>
      <c r="D113" s="374" t="s">
        <v>751</v>
      </c>
      <c r="E113" s="443">
        <v>98</v>
      </c>
      <c r="F113" s="375">
        <f t="shared" si="11"/>
        <v>0</v>
      </c>
      <c r="G113" s="376"/>
      <c r="H113" s="377"/>
      <c r="I113" s="375"/>
      <c r="J113" s="378"/>
      <c r="K113" s="379">
        <f t="shared" si="12"/>
        <v>0</v>
      </c>
      <c r="L113" s="380"/>
      <c r="M113" s="381"/>
      <c r="N113" s="382"/>
      <c r="O113" s="383"/>
      <c r="P113" s="384"/>
      <c r="Q113" s="385"/>
    </row>
    <row r="114" spans="1:17" ht="13.5" thickBot="1" x14ac:dyDescent="0.25">
      <c r="A114" s="372" t="s">
        <v>852</v>
      </c>
      <c r="B114" s="157" t="s">
        <v>771</v>
      </c>
      <c r="C114" s="373"/>
      <c r="D114" s="374" t="s">
        <v>751</v>
      </c>
      <c r="E114" s="443">
        <v>98</v>
      </c>
      <c r="F114" s="375">
        <f t="shared" si="11"/>
        <v>0</v>
      </c>
      <c r="G114" s="376"/>
      <c r="H114" s="377"/>
      <c r="I114" s="375"/>
      <c r="J114" s="378"/>
      <c r="K114" s="379">
        <f t="shared" si="12"/>
        <v>0</v>
      </c>
      <c r="L114" s="380"/>
      <c r="M114" s="381"/>
      <c r="N114" s="382"/>
      <c r="O114" s="383"/>
      <c r="P114" s="384"/>
      <c r="Q114" s="385"/>
    </row>
    <row r="115" spans="1:17" x14ac:dyDescent="0.2">
      <c r="A115" s="444"/>
      <c r="B115" s="445" t="s">
        <v>813</v>
      </c>
      <c r="C115" s="446"/>
      <c r="D115" s="446"/>
      <c r="E115" s="446"/>
      <c r="F115" s="447"/>
      <c r="G115" s="448"/>
      <c r="H115" s="377"/>
      <c r="I115" s="375"/>
      <c r="J115" s="378"/>
      <c r="K115" s="379"/>
      <c r="L115" s="380"/>
      <c r="M115" s="381"/>
      <c r="N115" s="382"/>
      <c r="O115" s="383"/>
      <c r="P115" s="384"/>
      <c r="Q115" s="385"/>
    </row>
    <row r="116" spans="1:17" ht="45" x14ac:dyDescent="0.25">
      <c r="A116" s="444"/>
      <c r="C116" s="157" t="s">
        <v>814</v>
      </c>
      <c r="D116" s="157" t="s">
        <v>815</v>
      </c>
      <c r="E116" s="449" t="s">
        <v>818</v>
      </c>
      <c r="F116" s="157" t="s">
        <v>816</v>
      </c>
      <c r="G116" s="450" t="s">
        <v>817</v>
      </c>
      <c r="H116" s="377"/>
      <c r="I116" s="375"/>
      <c r="J116" s="378"/>
      <c r="K116" s="379"/>
      <c r="L116" s="380"/>
      <c r="M116" s="381"/>
      <c r="N116" s="382"/>
      <c r="O116" s="383"/>
      <c r="P116" s="384"/>
      <c r="Q116" s="385"/>
    </row>
    <row r="117" spans="1:17" ht="15" x14ac:dyDescent="0.25">
      <c r="A117" s="444"/>
      <c r="C117" s="157">
        <v>90</v>
      </c>
      <c r="D117" s="157">
        <v>6</v>
      </c>
      <c r="E117" s="451">
        <v>24</v>
      </c>
      <c r="F117" s="157">
        <f>D117*E117</f>
        <v>144</v>
      </c>
      <c r="G117" s="452">
        <v>0</v>
      </c>
      <c r="H117" s="377"/>
      <c r="I117" s="375"/>
      <c r="J117" s="378"/>
      <c r="K117" s="379"/>
      <c r="L117" s="380"/>
      <c r="M117" s="381"/>
      <c r="N117" s="382"/>
      <c r="O117" s="383"/>
      <c r="P117" s="384"/>
      <c r="Q117" s="385"/>
    </row>
    <row r="118" spans="1:17" ht="15.75" thickBot="1" x14ac:dyDescent="0.3">
      <c r="A118" s="444" t="s">
        <v>853</v>
      </c>
      <c r="B118" s="453" t="s">
        <v>768</v>
      </c>
      <c r="C118" s="454">
        <f>F117*G117</f>
        <v>0</v>
      </c>
      <c r="D118" s="455" t="s">
        <v>757</v>
      </c>
      <c r="E118" s="456">
        <v>1.3</v>
      </c>
      <c r="F118" s="457">
        <f>C118*E118</f>
        <v>0</v>
      </c>
      <c r="G118" s="458"/>
      <c r="H118" s="377"/>
      <c r="I118" s="375"/>
      <c r="J118" s="378"/>
      <c r="K118" s="813">
        <f>F118</f>
        <v>0</v>
      </c>
      <c r="L118" s="157"/>
      <c r="M118" s="157"/>
      <c r="O118" s="383"/>
      <c r="P118" s="384"/>
      <c r="Q118" s="385"/>
    </row>
    <row r="119" spans="1:17" ht="13.5" thickBot="1" x14ac:dyDescent="0.25">
      <c r="A119" s="389"/>
      <c r="B119" s="5"/>
      <c r="C119" s="390"/>
      <c r="D119" s="374"/>
      <c r="E119" s="255"/>
      <c r="F119" s="375"/>
      <c r="G119" s="376"/>
      <c r="H119" s="377"/>
      <c r="I119" s="375"/>
      <c r="J119" s="378"/>
      <c r="K119" s="814"/>
      <c r="L119" s="157"/>
      <c r="M119" s="157"/>
      <c r="O119" s="383"/>
      <c r="P119" s="384"/>
      <c r="Q119" s="385"/>
    </row>
    <row r="120" spans="1:17" ht="13.5" thickTop="1" x14ac:dyDescent="0.2">
      <c r="A120" s="389"/>
      <c r="B120" s="414"/>
      <c r="C120" s="390"/>
      <c r="D120" s="374"/>
      <c r="E120" s="255"/>
      <c r="F120" s="375"/>
      <c r="G120" s="376"/>
      <c r="H120" s="377"/>
      <c r="I120" s="375"/>
      <c r="J120" s="391" t="s">
        <v>30</v>
      </c>
      <c r="K120" s="392">
        <f>SUM(K108:K119)</f>
        <v>0</v>
      </c>
      <c r="L120" s="380"/>
      <c r="M120" s="381"/>
      <c r="N120" s="382"/>
      <c r="O120" s="383"/>
      <c r="P120" s="384"/>
      <c r="Q120" s="385"/>
    </row>
    <row r="121" spans="1:17" ht="13.5" thickBot="1" x14ac:dyDescent="0.25">
      <c r="A121" s="355" t="s">
        <v>0</v>
      </c>
      <c r="B121" s="356" t="s">
        <v>1</v>
      </c>
      <c r="C121" s="948" t="s">
        <v>656</v>
      </c>
      <c r="D121" s="948"/>
      <c r="E121" s="948"/>
      <c r="F121" s="948"/>
      <c r="G121" s="948" t="s">
        <v>34</v>
      </c>
      <c r="H121" s="948"/>
      <c r="I121" s="948"/>
      <c r="J121" s="357"/>
      <c r="K121" s="358"/>
      <c r="L121" s="393"/>
      <c r="M121" s="394"/>
      <c r="N121" s="395"/>
      <c r="O121" s="383"/>
      <c r="P121" s="384"/>
      <c r="Q121" s="385"/>
    </row>
    <row r="122" spans="1:17" ht="16.5" thickBot="1" x14ac:dyDescent="0.3">
      <c r="A122" s="396" t="s">
        <v>112</v>
      </c>
      <c r="B122" s="397" t="s">
        <v>113</v>
      </c>
      <c r="C122" s="398" t="s">
        <v>19</v>
      </c>
      <c r="D122" s="399" t="s">
        <v>33</v>
      </c>
      <c r="E122" s="400" t="s">
        <v>35</v>
      </c>
      <c r="F122" s="401" t="s">
        <v>30</v>
      </c>
      <c r="G122" s="402" t="s">
        <v>14</v>
      </c>
      <c r="H122" s="400" t="s">
        <v>35</v>
      </c>
      <c r="I122" s="401" t="s">
        <v>30</v>
      </c>
      <c r="J122" s="366" t="s">
        <v>659</v>
      </c>
      <c r="K122" s="403" t="s">
        <v>38</v>
      </c>
      <c r="L122" s="404"/>
      <c r="M122" s="405"/>
      <c r="N122" s="406"/>
      <c r="O122" s="383"/>
      <c r="P122" s="384"/>
      <c r="Q122" s="385"/>
    </row>
    <row r="123" spans="1:17" x14ac:dyDescent="0.2">
      <c r="A123" s="837" t="s">
        <v>843</v>
      </c>
      <c r="B123" s="838" t="s">
        <v>136</v>
      </c>
      <c r="C123" s="839">
        <v>1</v>
      </c>
      <c r="D123" s="840" t="s">
        <v>21</v>
      </c>
      <c r="E123" s="841">
        <v>3000</v>
      </c>
      <c r="F123" s="842">
        <f>C123*E123</f>
        <v>3000</v>
      </c>
      <c r="G123" s="843"/>
      <c r="H123" s="844">
        <v>0</v>
      </c>
      <c r="I123" s="842">
        <f>G123*H123</f>
        <v>0</v>
      </c>
      <c r="J123" s="845"/>
      <c r="K123" s="846">
        <f>F123+I123+J123</f>
        <v>3000</v>
      </c>
      <c r="L123" s="380"/>
      <c r="M123" s="381"/>
      <c r="N123" s="382"/>
      <c r="O123" s="383"/>
      <c r="P123" s="384"/>
      <c r="Q123" s="385"/>
    </row>
    <row r="124" spans="1:17" x14ac:dyDescent="0.2">
      <c r="A124" s="372" t="s">
        <v>844</v>
      </c>
      <c r="B124" s="5" t="s">
        <v>137</v>
      </c>
      <c r="C124" s="373"/>
      <c r="D124" s="374" t="s">
        <v>21</v>
      </c>
      <c r="E124" s="255">
        <v>0</v>
      </c>
      <c r="F124" s="375">
        <f>C124*E124</f>
        <v>0</v>
      </c>
      <c r="G124" s="376"/>
      <c r="H124" s="377">
        <v>0</v>
      </c>
      <c r="I124" s="375">
        <f>G124*H124</f>
        <v>0</v>
      </c>
      <c r="J124" s="378"/>
      <c r="K124" s="379">
        <f>F124+I124+J124</f>
        <v>0</v>
      </c>
      <c r="L124" s="380"/>
      <c r="M124" s="381"/>
      <c r="N124" s="820"/>
      <c r="O124" s="817"/>
      <c r="P124" s="384"/>
      <c r="Q124" s="385"/>
    </row>
    <row r="125" spans="1:17" x14ac:dyDescent="0.2">
      <c r="A125" s="372" t="s">
        <v>845</v>
      </c>
      <c r="B125" s="159" t="s">
        <v>138</v>
      </c>
      <c r="C125" s="373"/>
      <c r="D125" s="374" t="s">
        <v>21</v>
      </c>
      <c r="E125" s="255">
        <v>0</v>
      </c>
      <c r="F125" s="375">
        <f>C125*E125</f>
        <v>0</v>
      </c>
      <c r="G125" s="376"/>
      <c r="H125" s="377">
        <v>0</v>
      </c>
      <c r="I125" s="375">
        <f>G125*H125</f>
        <v>0</v>
      </c>
      <c r="J125" s="378"/>
      <c r="K125" s="813">
        <f>F125+I125+J125</f>
        <v>0</v>
      </c>
      <c r="L125" s="157"/>
      <c r="M125" s="157"/>
      <c r="N125" s="821"/>
      <c r="O125" s="157"/>
      <c r="P125" s="157"/>
    </row>
    <row r="126" spans="1:17" ht="14.1" customHeight="1" x14ac:dyDescent="0.2">
      <c r="A126" s="372" t="s">
        <v>846</v>
      </c>
      <c r="B126" s="5" t="s">
        <v>139</v>
      </c>
      <c r="C126" s="373"/>
      <c r="D126" s="374" t="s">
        <v>21</v>
      </c>
      <c r="E126" s="255">
        <v>0</v>
      </c>
      <c r="F126" s="375">
        <f>C126*E126</f>
        <v>0</v>
      </c>
      <c r="G126" s="376"/>
      <c r="H126" s="377">
        <v>0</v>
      </c>
      <c r="I126" s="375">
        <f>G126*H126</f>
        <v>0</v>
      </c>
      <c r="J126" s="378"/>
      <c r="K126" s="813">
        <f>F126+I126+J126</f>
        <v>0</v>
      </c>
      <c r="L126" s="465"/>
      <c r="M126" s="466"/>
      <c r="N126" s="822"/>
      <c r="O126" s="818"/>
      <c r="P126" s="467"/>
    </row>
    <row r="127" spans="1:17" ht="13.5" thickBot="1" x14ac:dyDescent="0.25">
      <c r="A127" s="389"/>
      <c r="B127" s="5"/>
      <c r="C127" s="390"/>
      <c r="D127" s="374"/>
      <c r="E127" s="255"/>
      <c r="F127" s="375"/>
      <c r="G127" s="376"/>
      <c r="H127" s="377"/>
      <c r="I127" s="375"/>
      <c r="J127" s="378"/>
      <c r="K127" s="811"/>
      <c r="L127" s="468"/>
      <c r="M127" s="381"/>
      <c r="N127" s="820"/>
      <c r="O127" s="819"/>
      <c r="P127" s="416"/>
    </row>
    <row r="128" spans="1:17" ht="13.5" thickTop="1" x14ac:dyDescent="0.2">
      <c r="A128" s="389"/>
      <c r="B128" s="414"/>
      <c r="C128" s="390"/>
      <c r="D128" s="374"/>
      <c r="E128" s="255"/>
      <c r="F128" s="375"/>
      <c r="G128" s="376"/>
      <c r="H128" s="377"/>
      <c r="I128" s="375"/>
      <c r="J128" s="391" t="s">
        <v>30</v>
      </c>
      <c r="K128" s="812">
        <f>SUM(K123:K127)</f>
        <v>3000</v>
      </c>
      <c r="L128" s="468"/>
      <c r="M128" s="381"/>
      <c r="N128" s="820"/>
      <c r="O128" s="819"/>
      <c r="P128" s="416"/>
    </row>
    <row r="129" spans="1:19" ht="13.5" thickBot="1" x14ac:dyDescent="0.25">
      <c r="A129" s="355" t="s">
        <v>0</v>
      </c>
      <c r="B129" s="356" t="s">
        <v>1</v>
      </c>
      <c r="C129" s="948" t="s">
        <v>656</v>
      </c>
      <c r="D129" s="948"/>
      <c r="E129" s="948"/>
      <c r="F129" s="948"/>
      <c r="G129" s="948" t="s">
        <v>34</v>
      </c>
      <c r="H129" s="948"/>
      <c r="I129" s="948"/>
      <c r="J129" s="357"/>
      <c r="K129" s="815"/>
      <c r="L129" s="468"/>
      <c r="M129" s="381"/>
      <c r="N129" s="820"/>
      <c r="O129" s="819"/>
      <c r="P129" s="416"/>
    </row>
    <row r="130" spans="1:19" ht="16.5" thickBot="1" x14ac:dyDescent="0.3">
      <c r="A130" s="396" t="s">
        <v>114</v>
      </c>
      <c r="B130" s="397" t="s">
        <v>115</v>
      </c>
      <c r="C130" s="398" t="s">
        <v>19</v>
      </c>
      <c r="D130" s="399" t="s">
        <v>33</v>
      </c>
      <c r="E130" s="400" t="s">
        <v>35</v>
      </c>
      <c r="F130" s="401" t="s">
        <v>30</v>
      </c>
      <c r="G130" s="402" t="s">
        <v>14</v>
      </c>
      <c r="H130" s="400" t="s">
        <v>35</v>
      </c>
      <c r="I130" s="401" t="s">
        <v>30</v>
      </c>
      <c r="J130" s="366" t="s">
        <v>659</v>
      </c>
      <c r="K130" s="816" t="s">
        <v>38</v>
      </c>
      <c r="L130" s="468"/>
      <c r="M130" s="469"/>
      <c r="N130" s="820"/>
      <c r="O130" s="819"/>
      <c r="P130" s="416"/>
    </row>
    <row r="131" spans="1:19" x14ac:dyDescent="0.2">
      <c r="A131" s="407" t="s">
        <v>833</v>
      </c>
      <c r="B131" s="408" t="s">
        <v>140</v>
      </c>
      <c r="C131" s="373"/>
      <c r="D131" s="374" t="s">
        <v>21</v>
      </c>
      <c r="E131" s="255">
        <v>0</v>
      </c>
      <c r="F131" s="375">
        <f>C131*E131</f>
        <v>0</v>
      </c>
      <c r="G131" s="376"/>
      <c r="H131" s="377">
        <v>0</v>
      </c>
      <c r="I131" s="375">
        <f>G131*H131</f>
        <v>0</v>
      </c>
      <c r="J131" s="378"/>
      <c r="K131" s="813">
        <f>F131+I131+J131</f>
        <v>0</v>
      </c>
      <c r="L131" s="468"/>
      <c r="M131" s="469"/>
      <c r="N131" s="820"/>
      <c r="O131" s="819"/>
      <c r="P131" s="416"/>
    </row>
    <row r="132" spans="1:19" x14ac:dyDescent="0.2">
      <c r="A132" s="372" t="s">
        <v>834</v>
      </c>
      <c r="B132" s="5" t="s">
        <v>141</v>
      </c>
      <c r="C132" s="373"/>
      <c r="D132" s="374" t="s">
        <v>21</v>
      </c>
      <c r="E132" s="255">
        <v>0</v>
      </c>
      <c r="F132" s="375">
        <f>C132*E132</f>
        <v>0</v>
      </c>
      <c r="G132" s="376"/>
      <c r="H132" s="377">
        <v>0</v>
      </c>
      <c r="I132" s="375">
        <f>G132*H132</f>
        <v>0</v>
      </c>
      <c r="J132" s="378"/>
      <c r="K132" s="813">
        <f>F132+I132+J132</f>
        <v>0</v>
      </c>
      <c r="N132" s="821"/>
    </row>
    <row r="133" spans="1:19" x14ac:dyDescent="0.2">
      <c r="A133" s="372" t="s">
        <v>835</v>
      </c>
      <c r="B133" s="5" t="s">
        <v>142</v>
      </c>
      <c r="C133" s="373">
        <v>6</v>
      </c>
      <c r="D133" s="374" t="s">
        <v>751</v>
      </c>
      <c r="E133" s="255">
        <v>600</v>
      </c>
      <c r="F133" s="375">
        <f>C133*E133</f>
        <v>3600</v>
      </c>
      <c r="G133" s="376"/>
      <c r="H133" s="377">
        <v>0</v>
      </c>
      <c r="I133" s="375">
        <f>G133*H133</f>
        <v>0</v>
      </c>
      <c r="J133" s="378"/>
      <c r="K133" s="813">
        <f>F133+I133+J133</f>
        <v>3600</v>
      </c>
      <c r="N133" s="821"/>
    </row>
    <row r="134" spans="1:19" x14ac:dyDescent="0.2">
      <c r="A134" s="372" t="s">
        <v>836</v>
      </c>
      <c r="B134" s="5" t="s">
        <v>53</v>
      </c>
      <c r="C134" s="373">
        <f>E6</f>
        <v>1747</v>
      </c>
      <c r="D134" s="374" t="s">
        <v>730</v>
      </c>
      <c r="E134" s="255">
        <v>1</v>
      </c>
      <c r="F134" s="375">
        <f>C134*E134</f>
        <v>1747</v>
      </c>
      <c r="G134" s="376"/>
      <c r="H134" s="377">
        <v>0</v>
      </c>
      <c r="I134" s="375">
        <f>G134*H134</f>
        <v>0</v>
      </c>
      <c r="J134" s="378"/>
      <c r="K134" s="813">
        <f>F134+I134+J134</f>
        <v>1747</v>
      </c>
      <c r="L134" s="159" t="s">
        <v>1004</v>
      </c>
      <c r="M134" s="278">
        <v>4875.0200000000004</v>
      </c>
      <c r="N134" s="821"/>
    </row>
    <row r="135" spans="1:19" ht="13.5" thickBot="1" x14ac:dyDescent="0.25">
      <c r="A135" s="389"/>
      <c r="B135" s="414"/>
      <c r="C135" s="373"/>
      <c r="D135" s="374"/>
      <c r="E135" s="255"/>
      <c r="F135" s="375"/>
      <c r="G135" s="376"/>
      <c r="H135" s="377"/>
      <c r="I135" s="375"/>
      <c r="J135" s="378"/>
      <c r="K135" s="814"/>
      <c r="L135" s="157"/>
      <c r="M135" s="471"/>
      <c r="N135" s="823"/>
      <c r="O135" s="157"/>
      <c r="P135" s="157"/>
    </row>
    <row r="136" spans="1:19" ht="14.25" thickTop="1" thickBot="1" x14ac:dyDescent="0.25">
      <c r="A136" s="472"/>
      <c r="B136" s="156"/>
      <c r="C136" s="473"/>
      <c r="D136" s="474"/>
      <c r="E136" s="475"/>
      <c r="F136" s="476"/>
      <c r="G136" s="477"/>
      <c r="H136" s="475"/>
      <c r="I136" s="476"/>
      <c r="J136" s="478" t="s">
        <v>30</v>
      </c>
      <c r="K136" s="479">
        <f>SUM(K131:K135)</f>
        <v>5347</v>
      </c>
      <c r="L136" s="459"/>
      <c r="M136" s="460"/>
      <c r="N136" s="461"/>
      <c r="O136" s="462"/>
      <c r="P136" s="463"/>
      <c r="Q136" s="464"/>
    </row>
    <row r="137" spans="1:19" ht="15" x14ac:dyDescent="0.25">
      <c r="A137" s="480"/>
      <c r="B137" s="481"/>
      <c r="C137" s="482"/>
      <c r="D137" s="482"/>
      <c r="E137" s="483"/>
      <c r="F137" s="978" t="s">
        <v>658</v>
      </c>
      <c r="G137" s="974" t="s">
        <v>682</v>
      </c>
      <c r="H137" s="483"/>
      <c r="I137" s="971" t="s">
        <v>657</v>
      </c>
      <c r="J137" s="967" t="s">
        <v>683</v>
      </c>
      <c r="K137" s="965" t="s">
        <v>31</v>
      </c>
      <c r="L137" s="157"/>
      <c r="M137" s="471"/>
      <c r="O137" s="157"/>
      <c r="P137" s="157"/>
    </row>
    <row r="138" spans="1:19" ht="15" x14ac:dyDescent="0.2">
      <c r="A138" s="484" t="s">
        <v>32</v>
      </c>
      <c r="B138" s="973" t="s">
        <v>22</v>
      </c>
      <c r="C138" s="485"/>
      <c r="D138" s="486"/>
      <c r="E138" s="486"/>
      <c r="F138" s="979"/>
      <c r="G138" s="975"/>
      <c r="H138" s="487"/>
      <c r="I138" s="972"/>
      <c r="J138" s="968"/>
      <c r="K138" s="966"/>
      <c r="L138" s="157"/>
      <c r="M138" s="471"/>
      <c r="O138" s="157"/>
      <c r="P138" s="157"/>
    </row>
    <row r="139" spans="1:19" ht="15" x14ac:dyDescent="0.25">
      <c r="A139" s="827">
        <f>+K139/E6</f>
        <v>71.9885545231826</v>
      </c>
      <c r="B139" s="973"/>
      <c r="C139" s="486"/>
      <c r="D139" s="486"/>
      <c r="E139" s="486"/>
      <c r="F139" s="969">
        <f>SUM(F131:F135,F123:F127,F100:F104,F90:F96,F79:F86,F70:F75,F59,F27:F34,F11:F23,F118:F118,F109:F114,F38,F40,F39)+F41</f>
        <v>17547.114752000001</v>
      </c>
      <c r="G139" s="976">
        <f>SUM(G131:G136,G123:G127,G90:G96,G79:G86,G70:G75,G59:G66,G27:G34,G11:G22,,G100:G103)</f>
        <v>50</v>
      </c>
      <c r="H139" s="487"/>
      <c r="I139" s="969">
        <f>SUM(I131:I135,I123:I127,I100:I104,I90:I96,I79:I86,I70:I75,I59:I66,I27:I34,I11:I23)</f>
        <v>57200</v>
      </c>
      <c r="J139" s="961">
        <f>SUM(J131:J135,J123:J127,J100:J104,J90:J96,J79:J85,J70:J75,J59:J66,J27:J34,J11:J23,J49:J55)</f>
        <v>51016.89</v>
      </c>
      <c r="K139" s="963">
        <f>SUM(K136,K128,K105,K97,K87,K76,K67,K35,K24,K56,K120,K45)</f>
        <v>125764.00475200001</v>
      </c>
      <c r="L139" s="157"/>
      <c r="M139" s="471"/>
      <c r="O139" s="157"/>
      <c r="P139" s="157"/>
    </row>
    <row r="140" spans="1:19" ht="15" thickBot="1" x14ac:dyDescent="0.25">
      <c r="A140" s="489"/>
      <c r="B140" s="490"/>
      <c r="C140" s="490"/>
      <c r="D140" s="490"/>
      <c r="E140" s="490"/>
      <c r="F140" s="970"/>
      <c r="G140" s="977"/>
      <c r="H140" s="490"/>
      <c r="I140" s="970"/>
      <c r="J140" s="962"/>
      <c r="K140" s="964"/>
      <c r="L140" s="157"/>
      <c r="M140" s="471"/>
      <c r="O140" s="157"/>
      <c r="P140" s="157"/>
    </row>
    <row r="141" spans="1:19" ht="13.5" thickBot="1" x14ac:dyDescent="0.25">
      <c r="A141" s="491"/>
      <c r="B141" s="492"/>
      <c r="C141" s="492"/>
      <c r="D141" s="492"/>
      <c r="E141" s="492"/>
      <c r="F141" s="492"/>
      <c r="G141" s="492"/>
      <c r="H141" s="492"/>
      <c r="I141" s="492"/>
      <c r="J141" s="492"/>
      <c r="K141" s="493"/>
      <c r="L141" s="157"/>
      <c r="M141" s="471"/>
      <c r="O141" s="157"/>
      <c r="P141" s="157"/>
    </row>
    <row r="142" spans="1:19" x14ac:dyDescent="0.2">
      <c r="L142" s="494"/>
      <c r="M142" s="495"/>
      <c r="N142" s="496"/>
      <c r="O142" s="159"/>
      <c r="P142" s="471"/>
      <c r="Q142" s="497"/>
      <c r="R142" s="497"/>
      <c r="S142" s="498"/>
    </row>
    <row r="143" spans="1:19" x14ac:dyDescent="0.2">
      <c r="L143" s="494"/>
      <c r="M143" s="495"/>
      <c r="N143" s="496"/>
      <c r="O143" s="159"/>
      <c r="P143" s="471"/>
      <c r="Q143" s="497"/>
      <c r="R143" s="497"/>
      <c r="S143" s="498"/>
    </row>
    <row r="144" spans="1:19" x14ac:dyDescent="0.2">
      <c r="L144" s="494"/>
      <c r="M144" s="495"/>
      <c r="N144" s="496"/>
      <c r="O144" s="159"/>
      <c r="P144" s="497"/>
      <c r="Q144" s="497"/>
      <c r="R144" s="499"/>
      <c r="S144" s="498"/>
    </row>
    <row r="145" spans="1:19" x14ac:dyDescent="0.2">
      <c r="L145" s="494"/>
      <c r="M145" s="495"/>
      <c r="N145" s="496"/>
      <c r="O145" s="159"/>
      <c r="P145" s="471"/>
      <c r="Q145" s="500"/>
      <c r="R145" s="501"/>
      <c r="S145" s="502"/>
    </row>
    <row r="146" spans="1:19" x14ac:dyDescent="0.2">
      <c r="A146" s="503"/>
      <c r="C146" s="157"/>
      <c r="D146" s="157"/>
      <c r="L146" s="494"/>
      <c r="M146" s="495"/>
      <c r="N146" s="496"/>
      <c r="O146" s="159"/>
      <c r="P146" s="471"/>
      <c r="Q146" s="504"/>
      <c r="R146" s="257"/>
      <c r="S146" s="505"/>
    </row>
    <row r="147" spans="1:19" x14ac:dyDescent="0.2">
      <c r="A147" s="503"/>
      <c r="C147" s="157"/>
      <c r="D147" s="157"/>
      <c r="L147" s="494"/>
      <c r="M147" s="495"/>
      <c r="N147" s="496"/>
      <c r="O147" s="159"/>
      <c r="P147" s="471"/>
      <c r="Q147" s="506"/>
      <c r="R147" s="273"/>
      <c r="S147" s="507"/>
    </row>
    <row r="148" spans="1:19" x14ac:dyDescent="0.2">
      <c r="C148" s="157"/>
      <c r="D148" s="157"/>
      <c r="L148" s="494"/>
      <c r="M148" s="495"/>
      <c r="N148" s="496"/>
      <c r="O148" s="159"/>
      <c r="P148" s="471"/>
      <c r="Q148" s="506"/>
      <c r="R148" s="508"/>
      <c r="S148" s="507"/>
    </row>
    <row r="149" spans="1:19" x14ac:dyDescent="0.2">
      <c r="B149" s="322"/>
      <c r="C149" s="157"/>
      <c r="D149" s="157"/>
      <c r="L149" s="494"/>
      <c r="M149" s="495"/>
      <c r="N149" s="496"/>
      <c r="O149" s="159"/>
      <c r="P149" s="497"/>
      <c r="Q149" s="509"/>
      <c r="R149" s="510"/>
      <c r="S149" s="511"/>
    </row>
    <row r="150" spans="1:19" x14ac:dyDescent="0.2">
      <c r="C150" s="157"/>
      <c r="D150" s="157"/>
      <c r="L150" s="494"/>
      <c r="M150" s="495"/>
      <c r="N150" s="496"/>
      <c r="O150" s="159"/>
      <c r="P150" s="497"/>
      <c r="Q150" s="497"/>
      <c r="R150" s="257"/>
      <c r="S150" s="512"/>
    </row>
    <row r="151" spans="1:19" x14ac:dyDescent="0.2">
      <c r="C151" s="157"/>
      <c r="D151" s="157"/>
      <c r="L151" s="494"/>
      <c r="M151" s="495"/>
      <c r="N151" s="496"/>
      <c r="O151" s="159"/>
      <c r="P151" s="471"/>
      <c r="Q151" s="159"/>
      <c r="R151" s="159"/>
      <c r="S151" s="513"/>
    </row>
    <row r="152" spans="1:19" x14ac:dyDescent="0.2">
      <c r="C152" s="157"/>
      <c r="D152" s="157"/>
      <c r="L152" s="494"/>
      <c r="M152" s="495"/>
      <c r="N152" s="496"/>
      <c r="O152" s="159"/>
      <c r="P152" s="471"/>
      <c r="Q152" s="159"/>
      <c r="R152" s="159"/>
      <c r="S152" s="513"/>
    </row>
    <row r="153" spans="1:19" x14ac:dyDescent="0.2">
      <c r="B153" s="159"/>
      <c r="C153" s="159"/>
      <c r="D153" s="514"/>
      <c r="F153" s="159"/>
      <c r="G153" s="159"/>
      <c r="H153" s="159"/>
      <c r="I153" s="159"/>
      <c r="J153" s="159"/>
      <c r="K153" s="159"/>
      <c r="L153" s="494"/>
      <c r="M153" s="495"/>
      <c r="N153" s="496"/>
      <c r="O153" s="159"/>
      <c r="P153" s="471"/>
      <c r="Q153" s="159"/>
      <c r="R153" s="159"/>
      <c r="S153" s="513"/>
    </row>
    <row r="154" spans="1:19" x14ac:dyDescent="0.2">
      <c r="B154" s="159"/>
      <c r="C154" s="159"/>
      <c r="D154" s="514"/>
      <c r="F154" s="159"/>
      <c r="G154" s="159"/>
      <c r="H154" s="159"/>
      <c r="I154" s="159"/>
      <c r="J154" s="159"/>
      <c r="K154" s="159"/>
      <c r="L154" s="494"/>
      <c r="M154" s="495"/>
      <c r="N154" s="496"/>
      <c r="O154" s="159"/>
      <c r="P154" s="515"/>
      <c r="Q154" s="497"/>
      <c r="R154" s="497"/>
      <c r="S154" s="498"/>
    </row>
    <row r="155" spans="1:19" x14ac:dyDescent="0.2">
      <c r="B155" s="159"/>
      <c r="C155" s="159"/>
      <c r="D155" s="159"/>
      <c r="F155" s="159"/>
      <c r="G155" s="159"/>
      <c r="H155" s="159"/>
      <c r="I155" s="159"/>
      <c r="J155" s="159"/>
      <c r="K155" s="159"/>
      <c r="L155" s="157"/>
      <c r="M155" s="471"/>
      <c r="N155" s="159"/>
      <c r="O155" s="157"/>
      <c r="Q155" s="304"/>
      <c r="R155" s="304"/>
    </row>
    <row r="156" spans="1:19" x14ac:dyDescent="0.2">
      <c r="B156" s="159"/>
      <c r="C156" s="159"/>
      <c r="D156" s="159"/>
      <c r="F156" s="159"/>
      <c r="G156" s="159"/>
      <c r="H156" s="159"/>
      <c r="I156" s="496"/>
      <c r="J156" s="159"/>
      <c r="K156" s="159"/>
    </row>
    <row r="157" spans="1:19" x14ac:dyDescent="0.2">
      <c r="B157" s="159"/>
      <c r="C157" s="159"/>
      <c r="D157" s="159"/>
      <c r="F157" s="159"/>
      <c r="G157" s="159"/>
      <c r="H157" s="159"/>
      <c r="I157" s="496"/>
      <c r="J157" s="159"/>
      <c r="K157" s="159"/>
    </row>
    <row r="158" spans="1:19" x14ac:dyDescent="0.2">
      <c r="B158" s="159"/>
      <c r="C158" s="159"/>
      <c r="D158" s="159"/>
      <c r="F158" s="159"/>
      <c r="G158" s="159"/>
      <c r="H158" s="159"/>
      <c r="I158" s="496"/>
      <c r="J158" s="159"/>
      <c r="K158" s="159"/>
    </row>
    <row r="159" spans="1:19" x14ac:dyDescent="0.2">
      <c r="B159" s="159"/>
      <c r="C159" s="159"/>
      <c r="D159" s="159"/>
      <c r="F159" s="159"/>
      <c r="G159" s="159"/>
      <c r="H159" s="159"/>
      <c r="I159" s="496"/>
      <c r="J159" s="159"/>
      <c r="K159" s="159"/>
      <c r="L159" s="159" t="s">
        <v>755</v>
      </c>
    </row>
    <row r="160" spans="1:19" x14ac:dyDescent="0.2">
      <c r="B160" s="159"/>
      <c r="C160" s="159"/>
      <c r="D160" s="159"/>
      <c r="F160" s="159"/>
      <c r="G160" s="159"/>
      <c r="H160" s="159"/>
      <c r="I160" s="496"/>
      <c r="J160" s="159"/>
      <c r="K160" s="159"/>
      <c r="L160" s="159">
        <v>24</v>
      </c>
      <c r="M160" s="278">
        <f>K171*L160</f>
        <v>144</v>
      </c>
    </row>
    <row r="161" spans="1:11" x14ac:dyDescent="0.2">
      <c r="B161" s="159"/>
      <c r="C161" s="159"/>
      <c r="D161" s="159"/>
      <c r="F161" s="159"/>
      <c r="G161" s="159"/>
      <c r="H161" s="159"/>
      <c r="I161" s="496"/>
      <c r="J161" s="159"/>
      <c r="K161" s="159"/>
    </row>
    <row r="162" spans="1:11" x14ac:dyDescent="0.2">
      <c r="B162" s="159"/>
      <c r="C162" s="159"/>
      <c r="D162" s="159"/>
      <c r="F162" s="159"/>
      <c r="G162" s="159"/>
      <c r="H162" s="159"/>
      <c r="I162" s="496"/>
      <c r="J162" s="159"/>
      <c r="K162" s="159"/>
    </row>
    <row r="163" spans="1:11" x14ac:dyDescent="0.2">
      <c r="B163" s="159"/>
      <c r="C163" s="159"/>
      <c r="D163" s="159"/>
      <c r="F163" s="159"/>
      <c r="G163" s="159"/>
      <c r="H163" s="159"/>
      <c r="I163" s="496"/>
      <c r="J163" s="159"/>
      <c r="K163" s="159"/>
    </row>
    <row r="164" spans="1:11" x14ac:dyDescent="0.2">
      <c r="B164" s="159"/>
      <c r="C164" s="159"/>
      <c r="D164" s="159"/>
      <c r="F164" s="159"/>
      <c r="G164" s="159"/>
      <c r="H164" s="159"/>
      <c r="I164" s="159"/>
      <c r="J164" s="159"/>
      <c r="K164" s="159"/>
    </row>
    <row r="165" spans="1:11" x14ac:dyDescent="0.2">
      <c r="B165" s="159"/>
      <c r="C165" s="159"/>
      <c r="D165" s="514"/>
      <c r="F165" s="159"/>
      <c r="G165" s="159"/>
      <c r="H165" s="159"/>
      <c r="I165" s="159"/>
      <c r="J165" s="159"/>
      <c r="K165" s="159"/>
    </row>
    <row r="166" spans="1:11" x14ac:dyDescent="0.2">
      <c r="C166" s="157"/>
      <c r="F166" s="442"/>
    </row>
    <row r="170" spans="1:11" x14ac:dyDescent="0.2">
      <c r="K170" s="157" t="s">
        <v>754</v>
      </c>
    </row>
    <row r="171" spans="1:11" x14ac:dyDescent="0.2">
      <c r="A171" s="322" t="s">
        <v>756</v>
      </c>
      <c r="H171" s="157">
        <v>90</v>
      </c>
      <c r="I171" s="157" t="s">
        <v>757</v>
      </c>
      <c r="J171" s="157">
        <v>15</v>
      </c>
      <c r="K171" s="157">
        <f>H171/J171</f>
        <v>6</v>
      </c>
    </row>
    <row r="172" spans="1:11" x14ac:dyDescent="0.2">
      <c r="C172" s="442" t="s">
        <v>71</v>
      </c>
      <c r="D172" s="442">
        <f>J6/4</f>
        <v>3.25</v>
      </c>
      <c r="E172" s="157" t="s">
        <v>758</v>
      </c>
    </row>
    <row r="173" spans="1:11" x14ac:dyDescent="0.2">
      <c r="C173" s="442" t="s">
        <v>773</v>
      </c>
      <c r="F173" s="157" t="s">
        <v>774</v>
      </c>
      <c r="G173" s="157" t="s">
        <v>30</v>
      </c>
      <c r="H173" s="157" t="s">
        <v>38</v>
      </c>
    </row>
    <row r="174" spans="1:11" x14ac:dyDescent="0.2">
      <c r="A174" s="157" t="s">
        <v>759</v>
      </c>
      <c r="B174" s="157" t="s">
        <v>760</v>
      </c>
      <c r="C174" s="442">
        <v>602</v>
      </c>
      <c r="D174" s="442" t="s">
        <v>761</v>
      </c>
      <c r="E174" s="157" t="s">
        <v>762</v>
      </c>
      <c r="F174" s="157">
        <v>1</v>
      </c>
      <c r="G174" s="278">
        <f>F174*C174</f>
        <v>602</v>
      </c>
      <c r="H174" s="278">
        <f>G174*D$172</f>
        <v>1956.5</v>
      </c>
    </row>
    <row r="175" spans="1:11" x14ac:dyDescent="0.2">
      <c r="B175" s="157" t="s">
        <v>763</v>
      </c>
      <c r="C175" s="442">
        <v>73</v>
      </c>
      <c r="D175" s="442" t="s">
        <v>751</v>
      </c>
      <c r="F175" s="157">
        <v>1</v>
      </c>
      <c r="G175" s="278">
        <v>73</v>
      </c>
      <c r="H175" s="278">
        <f>G175*D$172</f>
        <v>237.25</v>
      </c>
    </row>
    <row r="176" spans="1:11" x14ac:dyDescent="0.2">
      <c r="B176" s="157" t="s">
        <v>764</v>
      </c>
      <c r="C176" s="442">
        <v>355</v>
      </c>
      <c r="D176" s="442" t="s">
        <v>761</v>
      </c>
      <c r="F176" s="157">
        <v>2</v>
      </c>
      <c r="G176" s="278">
        <f>F176*C176</f>
        <v>710</v>
      </c>
      <c r="H176" s="278">
        <f t="shared" ref="H176:H181" si="13">G176*D$172</f>
        <v>2307.5</v>
      </c>
    </row>
    <row r="177" spans="2:8" x14ac:dyDescent="0.2">
      <c r="B177" s="157" t="s">
        <v>765</v>
      </c>
      <c r="C177" s="442">
        <v>609</v>
      </c>
      <c r="D177" s="442" t="s">
        <v>761</v>
      </c>
      <c r="F177" s="157">
        <v>1</v>
      </c>
      <c r="G177" s="278">
        <f>F177*C177</f>
        <v>609</v>
      </c>
      <c r="H177" s="278">
        <f t="shared" si="13"/>
        <v>1979.25</v>
      </c>
    </row>
    <row r="178" spans="2:8" x14ac:dyDescent="0.2">
      <c r="E178" s="157" t="s">
        <v>766</v>
      </c>
      <c r="F178" s="157" t="s">
        <v>767</v>
      </c>
      <c r="G178" s="278"/>
      <c r="H178" s="278">
        <f t="shared" si="13"/>
        <v>0</v>
      </c>
    </row>
    <row r="179" spans="2:8" x14ac:dyDescent="0.2">
      <c r="B179" s="157" t="s">
        <v>768</v>
      </c>
      <c r="C179" s="442">
        <v>1.3</v>
      </c>
      <c r="D179" s="442" t="s">
        <v>769</v>
      </c>
      <c r="E179" s="157">
        <v>144</v>
      </c>
      <c r="F179" s="157">
        <f>J8*7</f>
        <v>0</v>
      </c>
      <c r="G179" s="278">
        <f>F179*E179*C179</f>
        <v>0</v>
      </c>
      <c r="H179" s="278">
        <f t="shared" si="13"/>
        <v>0</v>
      </c>
    </row>
    <row r="180" spans="2:8" x14ac:dyDescent="0.2">
      <c r="B180" s="157" t="s">
        <v>770</v>
      </c>
      <c r="C180" s="442">
        <v>98</v>
      </c>
      <c r="F180" s="157">
        <v>1</v>
      </c>
      <c r="G180" s="278">
        <f>F180*C180</f>
        <v>98</v>
      </c>
      <c r="H180" s="278">
        <f t="shared" si="13"/>
        <v>318.5</v>
      </c>
    </row>
    <row r="181" spans="2:8" x14ac:dyDescent="0.2">
      <c r="B181" s="157" t="s">
        <v>771</v>
      </c>
      <c r="C181" s="442">
        <v>98</v>
      </c>
      <c r="F181" s="157">
        <v>1</v>
      </c>
      <c r="G181" s="278">
        <f>F181*C181</f>
        <v>98</v>
      </c>
      <c r="H181" s="278">
        <f t="shared" si="13"/>
        <v>318.5</v>
      </c>
    </row>
    <row r="182" spans="2:8" x14ac:dyDescent="0.2">
      <c r="G182" s="278"/>
      <c r="H182" s="278"/>
    </row>
    <row r="183" spans="2:8" x14ac:dyDescent="0.2">
      <c r="B183" s="157" t="s">
        <v>772</v>
      </c>
    </row>
    <row r="184" spans="2:8" x14ac:dyDescent="0.2">
      <c r="G184" s="157" t="s">
        <v>38</v>
      </c>
      <c r="H184" s="304">
        <f>SUM(H174:H183)</f>
        <v>7117.5</v>
      </c>
    </row>
  </sheetData>
  <mergeCells count="69"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  <mergeCell ref="N5:P5"/>
    <mergeCell ref="L6:M6"/>
    <mergeCell ref="N6:P6"/>
    <mergeCell ref="L3:M3"/>
    <mergeCell ref="L4:M4"/>
    <mergeCell ref="N3:P3"/>
    <mergeCell ref="N4:P4"/>
    <mergeCell ref="C1:K1"/>
    <mergeCell ref="A7:K7"/>
    <mergeCell ref="J5:K5"/>
    <mergeCell ref="G5:I6"/>
    <mergeCell ref="D2:F2"/>
    <mergeCell ref="D3:F3"/>
    <mergeCell ref="D4:F4"/>
    <mergeCell ref="G8:I8"/>
    <mergeCell ref="C8:F8"/>
    <mergeCell ref="A3:B3"/>
    <mergeCell ref="A4:B4"/>
    <mergeCell ref="L5:M5"/>
    <mergeCell ref="B138:B139"/>
    <mergeCell ref="C129:F129"/>
    <mergeCell ref="G129:I129"/>
    <mergeCell ref="C88:F88"/>
    <mergeCell ref="G88:I88"/>
    <mergeCell ref="C98:F98"/>
    <mergeCell ref="G98:I98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J139:J140"/>
    <mergeCell ref="K139:K140"/>
    <mergeCell ref="K137:K138"/>
    <mergeCell ref="J137:J138"/>
    <mergeCell ref="I139:I140"/>
    <mergeCell ref="I137:I138"/>
    <mergeCell ref="Q9:Q10"/>
    <mergeCell ref="L9:L10"/>
    <mergeCell ref="M9:M10"/>
    <mergeCell ref="N9:N10"/>
    <mergeCell ref="O9:O10"/>
    <mergeCell ref="P9:P10"/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</mergeCells>
  <phoneticPr fontId="5" type="noConversion"/>
  <printOptions horizontalCentered="1"/>
  <pageMargins left="0.7" right="0.7" top="0.75" bottom="0.75" header="0.5" footer="0.5"/>
  <pageSetup scale="60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Q98"/>
  <sheetViews>
    <sheetView topLeftCell="A15" zoomScale="90" zoomScaleNormal="75" zoomScaleSheetLayoutView="90" zoomScalePageLayoutView="75" workbookViewId="0">
      <selection activeCell="F44" sqref="F44"/>
    </sheetView>
  </sheetViews>
  <sheetFormatPr defaultColWidth="9.140625" defaultRowHeight="12.75" x14ac:dyDescent="0.2"/>
  <cols>
    <col min="1" max="1" width="12" style="157" customWidth="1"/>
    <col min="2" max="2" width="44.5703125" style="157" customWidth="1"/>
    <col min="3" max="4" width="4.85546875" style="442" customWidth="1"/>
    <col min="5" max="5" width="11.140625" style="278" customWidth="1"/>
    <col min="6" max="6" width="12.42578125" style="157" customWidth="1"/>
    <col min="7" max="7" width="7" style="157" customWidth="1"/>
    <col min="8" max="8" width="11.140625" style="157" customWidth="1"/>
    <col min="9" max="9" width="12.42578125" style="157" customWidth="1"/>
    <col min="10" max="10" width="15.85546875" style="157" customWidth="1"/>
    <col min="11" max="11" width="14.140625" style="157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2.95" customHeight="1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154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09"/>
      <c r="D9" s="1009"/>
      <c r="E9" s="1005"/>
      <c r="F9" s="1005"/>
      <c r="G9" s="1010"/>
      <c r="H9" s="1005"/>
      <c r="I9" s="1005"/>
      <c r="J9" s="1005"/>
      <c r="K9" s="1008"/>
      <c r="L9" s="470"/>
      <c r="M9" s="469"/>
      <c r="N9" s="415"/>
      <c r="O9" s="416"/>
      <c r="P9" s="416"/>
    </row>
    <row r="10" spans="1:17" ht="13.5" thickBot="1" x14ac:dyDescent="0.25">
      <c r="A10" s="403"/>
      <c r="B10" s="524"/>
      <c r="C10" s="1009"/>
      <c r="D10" s="1009"/>
      <c r="E10" s="1005"/>
      <c r="F10" s="1005"/>
      <c r="G10" s="1010"/>
      <c r="H10" s="1005"/>
      <c r="I10" s="1005"/>
      <c r="J10" s="1005"/>
      <c r="K10" s="1008"/>
      <c r="L10" s="470"/>
      <c r="M10" s="469"/>
      <c r="N10" s="415"/>
      <c r="O10" s="416"/>
      <c r="P10" s="416"/>
    </row>
    <row r="11" spans="1:17" ht="14.25" thickTop="1" thickBot="1" x14ac:dyDescent="0.25">
      <c r="A11" s="355" t="s">
        <v>0</v>
      </c>
      <c r="B11" s="356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357"/>
      <c r="K11" s="525"/>
      <c r="L11" s="951" t="s">
        <v>780</v>
      </c>
      <c r="M11" s="953" t="s">
        <v>781</v>
      </c>
      <c r="N11" s="955" t="s">
        <v>782</v>
      </c>
      <c r="O11" s="957"/>
      <c r="P11" s="959"/>
      <c r="Q11" s="949"/>
    </row>
    <row r="12" spans="1:17" ht="15.75" x14ac:dyDescent="0.25">
      <c r="A12" s="526" t="s">
        <v>152</v>
      </c>
      <c r="B12" s="527" t="s">
        <v>154</v>
      </c>
      <c r="C12" s="361" t="s">
        <v>19</v>
      </c>
      <c r="D12" s="362" t="s">
        <v>33</v>
      </c>
      <c r="E12" s="363" t="s">
        <v>35</v>
      </c>
      <c r="F12" s="364" t="s">
        <v>30</v>
      </c>
      <c r="G12" s="528" t="s">
        <v>14</v>
      </c>
      <c r="H12" s="363" t="s">
        <v>35</v>
      </c>
      <c r="I12" s="364" t="s">
        <v>30</v>
      </c>
      <c r="J12" s="366" t="s">
        <v>659</v>
      </c>
      <c r="K12" s="529" t="s">
        <v>38</v>
      </c>
      <c r="L12" s="952"/>
      <c r="M12" s="954"/>
      <c r="N12" s="956"/>
      <c r="O12" s="958"/>
      <c r="P12" s="960"/>
      <c r="Q12" s="950"/>
    </row>
    <row r="13" spans="1:17" ht="25.5" x14ac:dyDescent="0.2">
      <c r="A13" s="530" t="s">
        <v>153</v>
      </c>
      <c r="B13" s="196" t="s">
        <v>76</v>
      </c>
      <c r="C13" s="570">
        <f>E6</f>
        <v>1747</v>
      </c>
      <c r="D13" s="374" t="s">
        <v>730</v>
      </c>
      <c r="E13" s="255">
        <v>5</v>
      </c>
      <c r="F13" s="375">
        <v>0</v>
      </c>
      <c r="G13" s="531"/>
      <c r="H13" s="377">
        <v>0</v>
      </c>
      <c r="I13" s="375">
        <f t="shared" ref="I13:I24" si="0">G13*H13</f>
        <v>0</v>
      </c>
      <c r="J13" s="378">
        <f>M13</f>
        <v>10086</v>
      </c>
      <c r="K13" s="532">
        <f t="shared" ref="K13:K24" si="1">F13+I13+J13</f>
        <v>10086</v>
      </c>
      <c r="L13" s="159" t="s">
        <v>1109</v>
      </c>
      <c r="M13" s="278">
        <v>10086</v>
      </c>
      <c r="N13" s="887" t="s">
        <v>1172</v>
      </c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ref="F14:F24" si="2">C14*E14</f>
        <v>0</v>
      </c>
      <c r="G14" s="531"/>
      <c r="H14" s="377">
        <v>0</v>
      </c>
      <c r="I14" s="375">
        <f t="shared" si="0"/>
        <v>0</v>
      </c>
      <c r="J14" s="378"/>
      <c r="K14" s="532">
        <f t="shared" si="1"/>
        <v>0</v>
      </c>
      <c r="L14" s="159" t="s">
        <v>1109</v>
      </c>
      <c r="M14" s="278">
        <v>150</v>
      </c>
      <c r="N14" s="382" t="s">
        <v>1123</v>
      </c>
      <c r="O14" s="383"/>
      <c r="P14" s="384"/>
      <c r="Q14" s="385"/>
    </row>
    <row r="15" spans="1:17" x14ac:dyDescent="0.2">
      <c r="A15" s="372"/>
      <c r="B15" s="5" t="s">
        <v>1122</v>
      </c>
      <c r="C15" s="373"/>
      <c r="D15" s="374" t="s">
        <v>21</v>
      </c>
      <c r="E15" s="255">
        <v>0</v>
      </c>
      <c r="F15" s="375">
        <f t="shared" si="2"/>
        <v>0</v>
      </c>
      <c r="G15" s="531"/>
      <c r="H15" s="377">
        <v>0</v>
      </c>
      <c r="I15" s="375">
        <f t="shared" si="0"/>
        <v>0</v>
      </c>
      <c r="J15" s="378">
        <f>M14*38</f>
        <v>5700</v>
      </c>
      <c r="K15" s="532">
        <f t="shared" si="1"/>
        <v>5700</v>
      </c>
      <c r="L15" s="159" t="s">
        <v>1109</v>
      </c>
      <c r="M15" s="278">
        <f>M14*38</f>
        <v>5700</v>
      </c>
      <c r="O15" s="383"/>
      <c r="P15" s="384"/>
      <c r="Q15" s="385"/>
    </row>
    <row r="16" spans="1:17" ht="15" x14ac:dyDescent="0.2">
      <c r="A16" s="530"/>
      <c r="B16" s="196"/>
      <c r="C16" s="373"/>
      <c r="D16" s="374" t="s">
        <v>21</v>
      </c>
      <c r="E16" s="255">
        <v>0</v>
      </c>
      <c r="F16" s="375">
        <f t="shared" si="2"/>
        <v>0</v>
      </c>
      <c r="G16" s="531"/>
      <c r="H16" s="377">
        <v>0</v>
      </c>
      <c r="I16" s="375">
        <f t="shared" si="0"/>
        <v>0</v>
      </c>
      <c r="J16" s="378"/>
      <c r="K16" s="532">
        <f t="shared" si="1"/>
        <v>0</v>
      </c>
      <c r="L16" s="380" t="s">
        <v>1135</v>
      </c>
      <c r="M16" s="381">
        <v>15900</v>
      </c>
      <c r="N16" s="382"/>
      <c r="O16" s="383"/>
      <c r="P16" s="384"/>
      <c r="Q16" s="385"/>
    </row>
    <row r="17" spans="1:17" x14ac:dyDescent="0.2">
      <c r="A17" s="372"/>
      <c r="B17" s="6"/>
      <c r="C17" s="373"/>
      <c r="D17" s="374" t="s">
        <v>21</v>
      </c>
      <c r="E17" s="255">
        <v>0</v>
      </c>
      <c r="F17" s="375">
        <f t="shared" si="2"/>
        <v>0</v>
      </c>
      <c r="G17" s="531"/>
      <c r="H17" s="377">
        <v>0</v>
      </c>
      <c r="I17" s="375">
        <f t="shared" si="0"/>
        <v>0</v>
      </c>
      <c r="J17" s="378"/>
      <c r="K17" s="532">
        <f t="shared" si="1"/>
        <v>0</v>
      </c>
      <c r="L17" s="380" t="s">
        <v>1135</v>
      </c>
      <c r="M17" s="381">
        <v>100</v>
      </c>
      <c r="N17" s="382" t="s">
        <v>1123</v>
      </c>
      <c r="O17" s="383"/>
      <c r="P17" s="384"/>
      <c r="Q17" s="385"/>
    </row>
    <row r="18" spans="1:17" x14ac:dyDescent="0.2">
      <c r="A18" s="533"/>
      <c r="B18" s="5"/>
      <c r="C18" s="373"/>
      <c r="D18" s="374" t="s">
        <v>21</v>
      </c>
      <c r="E18" s="255">
        <v>0</v>
      </c>
      <c r="F18" s="375">
        <f t="shared" si="2"/>
        <v>0</v>
      </c>
      <c r="G18" s="531"/>
      <c r="H18" s="377">
        <v>0</v>
      </c>
      <c r="I18" s="375">
        <f t="shared" si="0"/>
        <v>0</v>
      </c>
      <c r="J18" s="378"/>
      <c r="K18" s="532">
        <f t="shared" si="1"/>
        <v>0</v>
      </c>
      <c r="L18" s="380" t="s">
        <v>1110</v>
      </c>
      <c r="M18" s="381">
        <v>15230</v>
      </c>
      <c r="N18" s="382"/>
      <c r="O18" s="383"/>
      <c r="P18" s="384"/>
      <c r="Q18" s="385"/>
    </row>
    <row r="19" spans="1:17" ht="15" x14ac:dyDescent="0.2">
      <c r="A19" s="530"/>
      <c r="B19" s="194"/>
      <c r="C19" s="373"/>
      <c r="D19" s="374" t="s">
        <v>21</v>
      </c>
      <c r="E19" s="255">
        <v>0</v>
      </c>
      <c r="F19" s="375">
        <f t="shared" si="2"/>
        <v>0</v>
      </c>
      <c r="G19" s="531"/>
      <c r="H19" s="377">
        <v>0</v>
      </c>
      <c r="I19" s="375">
        <f t="shared" si="0"/>
        <v>0</v>
      </c>
      <c r="J19" s="378"/>
      <c r="K19" s="532">
        <f t="shared" si="1"/>
        <v>0</v>
      </c>
      <c r="L19" s="380"/>
      <c r="M19" s="381"/>
      <c r="N19" s="382"/>
      <c r="O19" s="383"/>
      <c r="P19" s="384"/>
      <c r="Q19" s="385"/>
    </row>
    <row r="20" spans="1:17" ht="25.5" x14ac:dyDescent="0.2">
      <c r="A20" s="386"/>
      <c r="B20" s="5"/>
      <c r="C20" s="373"/>
      <c r="D20" s="374" t="s">
        <v>21</v>
      </c>
      <c r="E20" s="255">
        <v>0</v>
      </c>
      <c r="F20" s="375">
        <f t="shared" si="2"/>
        <v>0</v>
      </c>
      <c r="G20" s="531"/>
      <c r="H20" s="377">
        <v>0</v>
      </c>
      <c r="I20" s="375">
        <f t="shared" si="0"/>
        <v>0</v>
      </c>
      <c r="J20" s="378"/>
      <c r="K20" s="532">
        <f t="shared" si="1"/>
        <v>0</v>
      </c>
      <c r="L20" s="866" t="s">
        <v>1053</v>
      </c>
      <c r="M20" s="381">
        <v>11.94</v>
      </c>
      <c r="N20" s="382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2"/>
        <v>0</v>
      </c>
      <c r="G21" s="531"/>
      <c r="H21" s="377">
        <v>0</v>
      </c>
      <c r="I21" s="375">
        <f t="shared" si="0"/>
        <v>0</v>
      </c>
      <c r="J21" s="378"/>
      <c r="K21" s="532">
        <f t="shared" si="1"/>
        <v>0</v>
      </c>
      <c r="L21" s="380"/>
      <c r="M21" s="381"/>
      <c r="N21" s="382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2"/>
        <v>0</v>
      </c>
      <c r="G22" s="531"/>
      <c r="H22" s="377">
        <v>0</v>
      </c>
      <c r="I22" s="375">
        <f t="shared" si="0"/>
        <v>0</v>
      </c>
      <c r="J22" s="378"/>
      <c r="K22" s="532">
        <f t="shared" si="1"/>
        <v>0</v>
      </c>
      <c r="L22" s="380"/>
      <c r="M22" s="381"/>
      <c r="N22" s="382"/>
      <c r="O22" s="383"/>
      <c r="P22" s="384"/>
      <c r="Q22" s="385"/>
    </row>
    <row r="23" spans="1:17" x14ac:dyDescent="0.2">
      <c r="A23" s="386"/>
      <c r="B23" s="5"/>
      <c r="C23" s="373"/>
      <c r="D23" s="374" t="s">
        <v>21</v>
      </c>
      <c r="E23" s="255">
        <v>0</v>
      </c>
      <c r="F23" s="375">
        <f t="shared" si="2"/>
        <v>0</v>
      </c>
      <c r="G23" s="531"/>
      <c r="H23" s="377">
        <v>0</v>
      </c>
      <c r="I23" s="375">
        <f t="shared" si="0"/>
        <v>0</v>
      </c>
      <c r="J23" s="378"/>
      <c r="K23" s="532">
        <f t="shared" si="1"/>
        <v>0</v>
      </c>
      <c r="L23" s="380"/>
      <c r="M23" s="381">
        <f>17286-K26</f>
        <v>1500</v>
      </c>
      <c r="N23" s="382"/>
      <c r="O23" s="383"/>
      <c r="P23" s="384"/>
      <c r="Q23" s="385"/>
    </row>
    <row r="24" spans="1:17" x14ac:dyDescent="0.2">
      <c r="A24" s="386"/>
      <c r="B24" s="5"/>
      <c r="C24" s="373"/>
      <c r="D24" s="374" t="s">
        <v>21</v>
      </c>
      <c r="E24" s="255">
        <v>0</v>
      </c>
      <c r="F24" s="375">
        <f t="shared" si="2"/>
        <v>0</v>
      </c>
      <c r="G24" s="531"/>
      <c r="H24" s="377">
        <v>0</v>
      </c>
      <c r="I24" s="375">
        <f t="shared" si="0"/>
        <v>0</v>
      </c>
      <c r="J24" s="378"/>
      <c r="K24" s="532">
        <f t="shared" si="1"/>
        <v>0</v>
      </c>
      <c r="L24" s="380"/>
      <c r="M24" s="381"/>
      <c r="N24" s="382"/>
      <c r="O24" s="383"/>
      <c r="P24" s="384"/>
      <c r="Q24" s="385"/>
    </row>
    <row r="25" spans="1:17" ht="13.5" thickBot="1" x14ac:dyDescent="0.25">
      <c r="A25" s="389"/>
      <c r="B25" s="7"/>
      <c r="C25" s="390"/>
      <c r="D25" s="374"/>
      <c r="E25" s="255"/>
      <c r="F25" s="375"/>
      <c r="G25" s="531"/>
      <c r="H25" s="377"/>
      <c r="I25" s="375"/>
      <c r="J25" s="378"/>
      <c r="K25" s="532"/>
      <c r="L25" s="380"/>
      <c r="M25" s="381"/>
      <c r="N25" s="382"/>
      <c r="O25" s="383"/>
      <c r="P25" s="384"/>
      <c r="Q25" s="385"/>
    </row>
    <row r="26" spans="1:17" ht="13.5" thickTop="1" x14ac:dyDescent="0.2">
      <c r="A26" s="389"/>
      <c r="B26" s="7"/>
      <c r="C26" s="390"/>
      <c r="D26" s="374"/>
      <c r="E26" s="255"/>
      <c r="F26" s="375"/>
      <c r="G26" s="531"/>
      <c r="H26" s="377"/>
      <c r="I26" s="375"/>
      <c r="J26" s="391" t="s">
        <v>30</v>
      </c>
      <c r="K26" s="534">
        <f>SUM(K13:K25)</f>
        <v>15786</v>
      </c>
      <c r="L26" s="380"/>
      <c r="M26" s="381"/>
      <c r="N26" s="382"/>
      <c r="O26" s="383"/>
      <c r="P26" s="384"/>
      <c r="Q26" s="385"/>
    </row>
    <row r="27" spans="1:17" ht="13.5" thickBot="1" x14ac:dyDescent="0.25">
      <c r="A27" s="355" t="s">
        <v>0</v>
      </c>
      <c r="B27" s="356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357"/>
      <c r="K27" s="525"/>
      <c r="L27" s="393"/>
      <c r="M27" s="394"/>
      <c r="N27" s="395"/>
      <c r="O27" s="383"/>
      <c r="P27" s="384"/>
      <c r="Q27" s="385"/>
    </row>
    <row r="28" spans="1:17" ht="16.5" thickBot="1" x14ac:dyDescent="0.3">
      <c r="A28" s="396" t="s">
        <v>777</v>
      </c>
      <c r="B28" s="397" t="s">
        <v>778</v>
      </c>
      <c r="C28" s="398" t="s">
        <v>19</v>
      </c>
      <c r="D28" s="399" t="s">
        <v>33</v>
      </c>
      <c r="E28" s="400" t="s">
        <v>35</v>
      </c>
      <c r="F28" s="401" t="s">
        <v>30</v>
      </c>
      <c r="G28" s="535" t="s">
        <v>14</v>
      </c>
      <c r="H28" s="400" t="s">
        <v>35</v>
      </c>
      <c r="I28" s="401" t="s">
        <v>30</v>
      </c>
      <c r="J28" s="366" t="s">
        <v>659</v>
      </c>
      <c r="K28" s="536" t="s">
        <v>38</v>
      </c>
      <c r="L28" s="404"/>
      <c r="M28" s="405"/>
      <c r="N28" s="406"/>
      <c r="O28" s="383"/>
      <c r="P28" s="384"/>
      <c r="Q28" s="385"/>
    </row>
    <row r="29" spans="1:17" x14ac:dyDescent="0.2">
      <c r="A29" s="407"/>
      <c r="B29" s="408"/>
      <c r="C29" s="373"/>
      <c r="D29" s="374" t="s">
        <v>21</v>
      </c>
      <c r="E29" s="255">
        <v>0</v>
      </c>
      <c r="F29" s="375">
        <f t="shared" ref="F29:F35" si="3">C29*E29</f>
        <v>0</v>
      </c>
      <c r="G29" s="531"/>
      <c r="H29" s="377">
        <v>0</v>
      </c>
      <c r="I29" s="375">
        <f t="shared" ref="I29:I35" si="4">G29*H29</f>
        <v>0</v>
      </c>
      <c r="J29" s="378"/>
      <c r="K29" s="532">
        <f t="shared" ref="K29:K35" si="5">F29+I29+J29</f>
        <v>0</v>
      </c>
      <c r="L29" s="380"/>
      <c r="M29" s="381"/>
      <c r="N29" s="382"/>
      <c r="O29" s="383"/>
      <c r="P29" s="384"/>
      <c r="Q29" s="385"/>
    </row>
    <row r="30" spans="1:17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380"/>
      <c r="M31" s="381"/>
      <c r="N31" s="382"/>
      <c r="O31" s="383"/>
      <c r="P31" s="384"/>
      <c r="Q31" s="385"/>
    </row>
    <row r="32" spans="1:17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380"/>
      <c r="M32" s="381"/>
      <c r="N32" s="382"/>
      <c r="O32" s="383"/>
      <c r="P32" s="384"/>
      <c r="Q32" s="385"/>
    </row>
    <row r="33" spans="1:17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380"/>
      <c r="M33" s="381"/>
      <c r="N33" s="382"/>
      <c r="O33" s="383"/>
      <c r="P33" s="384"/>
      <c r="Q33" s="385"/>
    </row>
    <row r="34" spans="1:17" x14ac:dyDescent="0.2">
      <c r="A34" s="372"/>
      <c r="B34" s="5"/>
      <c r="C34" s="373"/>
      <c r="D34" s="374" t="s">
        <v>21</v>
      </c>
      <c r="E34" s="255">
        <v>0</v>
      </c>
      <c r="F34" s="375">
        <f t="shared" si="3"/>
        <v>0</v>
      </c>
      <c r="G34" s="531"/>
      <c r="H34" s="377">
        <v>0</v>
      </c>
      <c r="I34" s="375">
        <f t="shared" si="4"/>
        <v>0</v>
      </c>
      <c r="J34" s="378"/>
      <c r="K34" s="532">
        <f t="shared" si="5"/>
        <v>0</v>
      </c>
      <c r="L34" s="380"/>
      <c r="M34" s="381"/>
      <c r="N34" s="382"/>
      <c r="O34" s="383"/>
      <c r="P34" s="384"/>
      <c r="Q34" s="385"/>
    </row>
    <row r="35" spans="1:17" x14ac:dyDescent="0.2">
      <c r="A35" s="372"/>
      <c r="B35" s="5"/>
      <c r="C35" s="373"/>
      <c r="D35" s="374" t="s">
        <v>21</v>
      </c>
      <c r="E35" s="255">
        <v>0</v>
      </c>
      <c r="F35" s="375">
        <f t="shared" si="3"/>
        <v>0</v>
      </c>
      <c r="G35" s="531"/>
      <c r="H35" s="377">
        <v>0</v>
      </c>
      <c r="I35" s="375">
        <f t="shared" si="4"/>
        <v>0</v>
      </c>
      <c r="J35" s="378"/>
      <c r="K35" s="532">
        <f t="shared" si="5"/>
        <v>0</v>
      </c>
      <c r="L35" s="380"/>
      <c r="M35" s="381"/>
      <c r="N35" s="382"/>
      <c r="O35" s="383"/>
      <c r="P35" s="384"/>
      <c r="Q35" s="385"/>
    </row>
    <row r="36" spans="1:17" ht="13.5" thickBot="1" x14ac:dyDescent="0.25">
      <c r="A36" s="389"/>
      <c r="B36" s="5"/>
      <c r="C36" s="390"/>
      <c r="D36" s="374"/>
      <c r="E36" s="255"/>
      <c r="F36" s="375"/>
      <c r="G36" s="531"/>
      <c r="H36" s="377"/>
      <c r="I36" s="375"/>
      <c r="J36" s="378"/>
      <c r="K36" s="537"/>
      <c r="L36" s="380"/>
      <c r="M36" s="381"/>
      <c r="N36" s="382"/>
      <c r="O36" s="383"/>
      <c r="P36" s="384"/>
      <c r="Q36" s="385"/>
    </row>
    <row r="37" spans="1:17" ht="13.5" thickTop="1" x14ac:dyDescent="0.2">
      <c r="A37" s="389"/>
      <c r="B37" s="414"/>
      <c r="C37" s="390"/>
      <c r="D37" s="374"/>
      <c r="E37" s="255"/>
      <c r="F37" s="375"/>
      <c r="G37" s="531"/>
      <c r="H37" s="377"/>
      <c r="I37" s="375"/>
      <c r="J37" s="391" t="s">
        <v>30</v>
      </c>
      <c r="K37" s="534">
        <f>SUM(K29:K36)</f>
        <v>0</v>
      </c>
      <c r="L37" s="380"/>
      <c r="M37" s="381"/>
      <c r="N37" s="382"/>
      <c r="O37" s="383"/>
      <c r="P37" s="384"/>
      <c r="Q37" s="385"/>
    </row>
    <row r="38" spans="1:17" ht="13.5" thickBot="1" x14ac:dyDescent="0.25">
      <c r="A38" s="355" t="s">
        <v>0</v>
      </c>
      <c r="B38" s="356" t="s">
        <v>1</v>
      </c>
      <c r="C38" s="948" t="s">
        <v>656</v>
      </c>
      <c r="D38" s="948"/>
      <c r="E38" s="948"/>
      <c r="F38" s="948"/>
      <c r="G38" s="948" t="s">
        <v>34</v>
      </c>
      <c r="H38" s="948"/>
      <c r="I38" s="948"/>
      <c r="J38" s="357"/>
      <c r="K38" s="525"/>
      <c r="L38" s="393"/>
      <c r="M38" s="394"/>
      <c r="N38" s="395"/>
      <c r="O38" s="383"/>
      <c r="P38" s="384"/>
      <c r="Q38" s="385"/>
    </row>
    <row r="39" spans="1:17" ht="16.5" thickBot="1" x14ac:dyDescent="0.3">
      <c r="A39" s="396" t="s">
        <v>157</v>
      </c>
      <c r="B39" s="397" t="s">
        <v>534</v>
      </c>
      <c r="C39" s="398" t="s">
        <v>19</v>
      </c>
      <c r="D39" s="399" t="s">
        <v>33</v>
      </c>
      <c r="E39" s="400" t="s">
        <v>35</v>
      </c>
      <c r="F39" s="401" t="s">
        <v>30</v>
      </c>
      <c r="G39" s="535" t="s">
        <v>14</v>
      </c>
      <c r="H39" s="400" t="s">
        <v>35</v>
      </c>
      <c r="I39" s="401" t="s">
        <v>30</v>
      </c>
      <c r="J39" s="366" t="s">
        <v>659</v>
      </c>
      <c r="K39" s="536" t="s">
        <v>38</v>
      </c>
      <c r="L39" s="404"/>
      <c r="M39" s="410"/>
      <c r="N39" s="411"/>
      <c r="O39" s="412"/>
      <c r="P39" s="413"/>
      <c r="Q39" s="385"/>
    </row>
    <row r="40" spans="1:17" x14ac:dyDescent="0.2">
      <c r="A40" s="407"/>
      <c r="B40" s="408"/>
      <c r="C40" s="373"/>
      <c r="D40" s="374" t="s">
        <v>21</v>
      </c>
      <c r="E40" s="255">
        <v>0</v>
      </c>
      <c r="F40" s="375">
        <f t="shared" ref="F40:F46" si="6">C40*E40</f>
        <v>0</v>
      </c>
      <c r="G40" s="531"/>
      <c r="H40" s="377">
        <v>0</v>
      </c>
      <c r="I40" s="375">
        <f t="shared" ref="I40:I46" si="7">G40*H40</f>
        <v>0</v>
      </c>
      <c r="J40" s="378"/>
      <c r="K40" s="532">
        <f t="shared" ref="K40:K46" si="8">F40+I40+J40</f>
        <v>0</v>
      </c>
      <c r="L40" s="380"/>
      <c r="M40" s="257"/>
      <c r="N40" s="423"/>
      <c r="O40" s="412"/>
      <c r="P40" s="413"/>
      <c r="Q40" s="385"/>
    </row>
    <row r="41" spans="1:17" x14ac:dyDescent="0.2">
      <c r="A41" s="372"/>
      <c r="B41" s="5" t="s">
        <v>779</v>
      </c>
      <c r="C41" s="373"/>
      <c r="D41" s="374" t="s">
        <v>750</v>
      </c>
      <c r="E41" s="255">
        <v>95</v>
      </c>
      <c r="F41" s="375">
        <f t="shared" si="6"/>
        <v>0</v>
      </c>
      <c r="G41" s="531"/>
      <c r="H41" s="377">
        <v>0</v>
      </c>
      <c r="I41" s="375">
        <f t="shared" si="7"/>
        <v>0</v>
      </c>
      <c r="J41" s="378"/>
      <c r="K41" s="532">
        <f t="shared" si="8"/>
        <v>0</v>
      </c>
      <c r="L41" s="380"/>
      <c r="M41" s="257"/>
      <c r="N41" s="423"/>
      <c r="O41" s="412"/>
      <c r="P41" s="413"/>
      <c r="Q41" s="385"/>
    </row>
    <row r="42" spans="1:17" x14ac:dyDescent="0.2">
      <c r="A42" s="372"/>
      <c r="B42" s="5"/>
      <c r="C42" s="373"/>
      <c r="D42" s="374" t="s">
        <v>21</v>
      </c>
      <c r="E42" s="255">
        <v>0</v>
      </c>
      <c r="F42" s="375">
        <f t="shared" si="6"/>
        <v>0</v>
      </c>
      <c r="G42" s="531"/>
      <c r="H42" s="377">
        <v>0</v>
      </c>
      <c r="I42" s="375">
        <f t="shared" si="7"/>
        <v>0</v>
      </c>
      <c r="J42" s="378"/>
      <c r="K42" s="532">
        <f t="shared" si="8"/>
        <v>0</v>
      </c>
      <c r="L42" s="380"/>
      <c r="M42" s="257"/>
      <c r="N42" s="423"/>
      <c r="O42" s="412"/>
      <c r="P42" s="413"/>
      <c r="Q42" s="385"/>
    </row>
    <row r="43" spans="1:17" x14ac:dyDescent="0.2">
      <c r="A43" s="372"/>
      <c r="B43" s="5" t="s">
        <v>1057</v>
      </c>
      <c r="C43" s="373">
        <v>24</v>
      </c>
      <c r="D43" s="374" t="s">
        <v>910</v>
      </c>
      <c r="E43" s="255">
        <v>120</v>
      </c>
      <c r="F43" s="375">
        <v>0</v>
      </c>
      <c r="G43" s="531"/>
      <c r="H43" s="377">
        <v>0</v>
      </c>
      <c r="I43" s="375">
        <f t="shared" si="7"/>
        <v>0</v>
      </c>
      <c r="J43" s="378"/>
      <c r="K43" s="532">
        <f t="shared" si="8"/>
        <v>0</v>
      </c>
      <c r="L43" s="380"/>
      <c r="M43" s="257"/>
      <c r="N43" s="423"/>
      <c r="O43" s="412"/>
      <c r="P43" s="413"/>
      <c r="Q43" s="385"/>
    </row>
    <row r="44" spans="1:17" x14ac:dyDescent="0.2">
      <c r="A44" s="372"/>
      <c r="B44" s="5" t="s">
        <v>1058</v>
      </c>
      <c r="C44" s="373">
        <v>1</v>
      </c>
      <c r="D44" s="374" t="s">
        <v>21</v>
      </c>
      <c r="E44" s="255">
        <v>1500</v>
      </c>
      <c r="F44" s="375">
        <f t="shared" si="6"/>
        <v>1500</v>
      </c>
      <c r="G44" s="531"/>
      <c r="H44" s="377">
        <v>0</v>
      </c>
      <c r="I44" s="375">
        <f t="shared" si="7"/>
        <v>0</v>
      </c>
      <c r="J44" s="378"/>
      <c r="K44" s="532">
        <f t="shared" si="8"/>
        <v>1500</v>
      </c>
      <c r="L44" s="380"/>
      <c r="M44" s="257"/>
      <c r="N44" s="423"/>
      <c r="O44" s="412"/>
      <c r="P44" s="413"/>
      <c r="Q44" s="385"/>
    </row>
    <row r="45" spans="1:17" x14ac:dyDescent="0.2">
      <c r="A45" s="372"/>
      <c r="B45" s="5"/>
      <c r="C45" s="373"/>
      <c r="D45" s="374" t="s">
        <v>21</v>
      </c>
      <c r="E45" s="255">
        <v>0</v>
      </c>
      <c r="F45" s="375">
        <f t="shared" si="6"/>
        <v>0</v>
      </c>
      <c r="G45" s="531"/>
      <c r="H45" s="377">
        <v>0</v>
      </c>
      <c r="I45" s="375">
        <f t="shared" si="7"/>
        <v>0</v>
      </c>
      <c r="J45" s="378"/>
      <c r="K45" s="532">
        <f t="shared" si="8"/>
        <v>0</v>
      </c>
      <c r="L45" s="380"/>
      <c r="M45" s="257"/>
      <c r="N45" s="382"/>
      <c r="O45" s="383"/>
      <c r="P45" s="384"/>
      <c r="Q45" s="385"/>
    </row>
    <row r="46" spans="1:17" x14ac:dyDescent="0.2">
      <c r="A46" s="372"/>
      <c r="B46" s="5"/>
      <c r="C46" s="373"/>
      <c r="D46" s="374" t="s">
        <v>21</v>
      </c>
      <c r="E46" s="255">
        <v>0</v>
      </c>
      <c r="F46" s="375">
        <f t="shared" si="6"/>
        <v>0</v>
      </c>
      <c r="G46" s="531"/>
      <c r="H46" s="377">
        <v>0</v>
      </c>
      <c r="I46" s="375">
        <f t="shared" si="7"/>
        <v>0</v>
      </c>
      <c r="J46" s="378"/>
      <c r="K46" s="532">
        <f t="shared" si="8"/>
        <v>0</v>
      </c>
      <c r="L46" s="538"/>
      <c r="M46" s="257"/>
      <c r="N46" s="539"/>
      <c r="O46" s="383"/>
      <c r="P46" s="384"/>
      <c r="Q46" s="385"/>
    </row>
    <row r="47" spans="1:17" ht="13.5" thickBot="1" x14ac:dyDescent="0.25">
      <c r="A47" s="389"/>
      <c r="B47" s="5"/>
      <c r="C47" s="390"/>
      <c r="D47" s="374"/>
      <c r="E47" s="255"/>
      <c r="F47" s="375"/>
      <c r="G47" s="531"/>
      <c r="H47" s="377"/>
      <c r="I47" s="375"/>
      <c r="J47" s="378"/>
      <c r="K47" s="537"/>
      <c r="L47" s="540"/>
      <c r="M47" s="257"/>
      <c r="N47" s="541"/>
      <c r="O47" s="383"/>
      <c r="P47" s="413"/>
      <c r="Q47" s="385"/>
    </row>
    <row r="48" spans="1:17" ht="14.25" thickTop="1" thickBot="1" x14ac:dyDescent="0.25">
      <c r="A48" s="389"/>
      <c r="B48" s="414"/>
      <c r="C48" s="390"/>
      <c r="D48" s="374"/>
      <c r="E48" s="255"/>
      <c r="F48" s="375"/>
      <c r="G48" s="531"/>
      <c r="H48" s="377"/>
      <c r="I48" s="375"/>
      <c r="J48" s="391" t="s">
        <v>30</v>
      </c>
      <c r="K48" s="534">
        <f>SUM(K40:K47)</f>
        <v>1500</v>
      </c>
      <c r="L48" s="538"/>
      <c r="M48" s="257"/>
      <c r="N48" s="539"/>
      <c r="O48" s="542"/>
      <c r="P48" s="543"/>
      <c r="Q48" s="385"/>
    </row>
    <row r="49" spans="1:17" ht="14.1" customHeight="1" thickTop="1" x14ac:dyDescent="0.25">
      <c r="A49" s="480"/>
      <c r="B49" s="481"/>
      <c r="C49" s="482"/>
      <c r="D49" s="482"/>
      <c r="E49" s="483"/>
      <c r="F49" s="978" t="s">
        <v>658</v>
      </c>
      <c r="G49" s="1001" t="s">
        <v>682</v>
      </c>
      <c r="H49" s="483"/>
      <c r="I49" s="971" t="s">
        <v>657</v>
      </c>
      <c r="J49" s="967" t="s">
        <v>683</v>
      </c>
      <c r="K49" s="1003" t="s">
        <v>31</v>
      </c>
      <c r="L49" s="544"/>
      <c r="M49" s="545"/>
      <c r="N49" s="546"/>
      <c r="O49" s="547"/>
      <c r="P49" s="547"/>
      <c r="Q49" s="548"/>
    </row>
    <row r="50" spans="1:17" ht="15" x14ac:dyDescent="0.2">
      <c r="A50" s="484" t="s">
        <v>32</v>
      </c>
      <c r="B50" s="973" t="s">
        <v>23</v>
      </c>
      <c r="C50" s="485"/>
      <c r="D50" s="486"/>
      <c r="E50" s="486"/>
      <c r="F50" s="979"/>
      <c r="G50" s="1002"/>
      <c r="H50" s="487"/>
      <c r="I50" s="972"/>
      <c r="J50" s="968"/>
      <c r="K50" s="1004"/>
      <c r="L50" s="549"/>
      <c r="M50" s="257"/>
      <c r="O50" s="550"/>
      <c r="P50" s="550"/>
      <c r="Q50" s="551"/>
    </row>
    <row r="51" spans="1:17" ht="15" x14ac:dyDescent="0.25">
      <c r="A51" s="827">
        <f>K51/E6</f>
        <v>9.8946765884373207</v>
      </c>
      <c r="B51" s="973"/>
      <c r="C51" s="486"/>
      <c r="D51" s="486"/>
      <c r="E51" s="486"/>
      <c r="F51" s="961">
        <f>SUM(F13:F25,F40:F47,F29:F35)</f>
        <v>1500</v>
      </c>
      <c r="G51" s="1006">
        <f>SUM(G13:G25,G40:G47,G29:G35)</f>
        <v>0</v>
      </c>
      <c r="H51" s="487"/>
      <c r="I51" s="961">
        <f>SUM(I13:I25,I40:I47,I29:I35)</f>
        <v>0</v>
      </c>
      <c r="J51" s="961">
        <f>SUM(J13:J25,J40:J47,J29:J35)</f>
        <v>15786</v>
      </c>
      <c r="K51" s="969">
        <f>SUM(K48,K26,K37)</f>
        <v>17286</v>
      </c>
      <c r="L51" s="549"/>
      <c r="M51" s="257"/>
      <c r="O51" s="550"/>
      <c r="P51" s="550"/>
      <c r="Q51" s="551"/>
    </row>
    <row r="52" spans="1:17" ht="15" thickBot="1" x14ac:dyDescent="0.25">
      <c r="A52" s="484"/>
      <c r="B52" s="552"/>
      <c r="C52" s="490"/>
      <c r="D52" s="490"/>
      <c r="E52" s="490"/>
      <c r="F52" s="962"/>
      <c r="G52" s="1007"/>
      <c r="H52" s="490"/>
      <c r="I52" s="962"/>
      <c r="J52" s="962"/>
      <c r="K52" s="970"/>
      <c r="L52" s="549"/>
      <c r="M52" s="257"/>
      <c r="O52" s="550"/>
      <c r="P52" s="550"/>
      <c r="Q52" s="551"/>
    </row>
    <row r="53" spans="1:17" ht="13.5" thickBot="1" x14ac:dyDescent="0.25">
      <c r="A53" s="491"/>
      <c r="B53" s="492"/>
      <c r="C53" s="492"/>
      <c r="D53" s="492"/>
      <c r="E53" s="492"/>
      <c r="F53" s="492"/>
      <c r="G53" s="492"/>
      <c r="H53" s="492"/>
      <c r="I53" s="492"/>
      <c r="J53" s="492"/>
      <c r="K53" s="492"/>
      <c r="L53" s="549"/>
      <c r="M53" s="257"/>
      <c r="O53" s="550"/>
      <c r="P53" s="550"/>
      <c r="Q53" s="551"/>
    </row>
    <row r="54" spans="1:17" x14ac:dyDescent="0.2">
      <c r="M54" s="257"/>
      <c r="O54" s="550"/>
      <c r="P54" s="550"/>
      <c r="Q54" s="551"/>
    </row>
    <row r="55" spans="1:17" x14ac:dyDescent="0.2">
      <c r="M55" s="257"/>
      <c r="O55" s="550"/>
      <c r="P55" s="550"/>
      <c r="Q55" s="551"/>
    </row>
    <row r="56" spans="1:17" x14ac:dyDescent="0.2">
      <c r="M56" s="257"/>
      <c r="O56" s="551"/>
      <c r="P56" s="551"/>
      <c r="Q56" s="551"/>
    </row>
    <row r="57" spans="1:17" x14ac:dyDescent="0.2">
      <c r="M57" s="257"/>
      <c r="O57" s="550"/>
      <c r="P57" s="550"/>
      <c r="Q57" s="551"/>
    </row>
    <row r="58" spans="1:17" x14ac:dyDescent="0.2">
      <c r="M58" s="257"/>
      <c r="O58" s="550"/>
      <c r="P58" s="550"/>
      <c r="Q58" s="551"/>
    </row>
    <row r="59" spans="1:17" x14ac:dyDescent="0.2">
      <c r="M59" s="257"/>
      <c r="O59" s="550"/>
      <c r="P59" s="550"/>
      <c r="Q59" s="551"/>
    </row>
    <row r="60" spans="1:17" x14ac:dyDescent="0.2">
      <c r="M60" s="257"/>
      <c r="O60" s="550"/>
      <c r="P60" s="550"/>
      <c r="Q60" s="551"/>
    </row>
    <row r="61" spans="1:17" x14ac:dyDescent="0.2">
      <c r="M61" s="257"/>
      <c r="O61" s="550"/>
      <c r="P61" s="550"/>
      <c r="Q61" s="551"/>
    </row>
    <row r="62" spans="1:17" x14ac:dyDescent="0.2">
      <c r="M62" s="257"/>
      <c r="O62" s="550"/>
      <c r="P62" s="550"/>
      <c r="Q62" s="551"/>
    </row>
    <row r="63" spans="1:17" x14ac:dyDescent="0.2">
      <c r="M63" s="257"/>
      <c r="O63" s="550"/>
      <c r="P63" s="550"/>
      <c r="Q63" s="551"/>
    </row>
    <row r="64" spans="1:17" x14ac:dyDescent="0.2">
      <c r="M64" s="257"/>
      <c r="O64" s="550"/>
      <c r="P64" s="550"/>
      <c r="Q64" s="551"/>
    </row>
    <row r="65" spans="13:17" x14ac:dyDescent="0.2">
      <c r="M65" s="257"/>
      <c r="O65" s="550"/>
      <c r="P65" s="550"/>
      <c r="Q65" s="551"/>
    </row>
    <row r="66" spans="13:17" x14ac:dyDescent="0.2">
      <c r="M66" s="257"/>
      <c r="O66" s="550"/>
      <c r="P66" s="550"/>
      <c r="Q66" s="551"/>
    </row>
    <row r="67" spans="13:17" x14ac:dyDescent="0.2">
      <c r="M67" s="257"/>
      <c r="O67" s="550"/>
      <c r="P67" s="550"/>
      <c r="Q67" s="551"/>
    </row>
    <row r="68" spans="13:17" x14ac:dyDescent="0.2">
      <c r="M68" s="257"/>
      <c r="O68" s="550"/>
      <c r="P68" s="550"/>
      <c r="Q68" s="551"/>
    </row>
    <row r="69" spans="13:17" x14ac:dyDescent="0.2">
      <c r="M69" s="257"/>
      <c r="O69" s="550"/>
      <c r="P69" s="550"/>
      <c r="Q69" s="551"/>
    </row>
    <row r="70" spans="13:17" x14ac:dyDescent="0.2">
      <c r="M70" s="257"/>
      <c r="O70" s="550"/>
      <c r="P70" s="550"/>
      <c r="Q70" s="551"/>
    </row>
    <row r="71" spans="13:17" x14ac:dyDescent="0.2">
      <c r="M71" s="257"/>
      <c r="O71" s="550"/>
      <c r="P71" s="550"/>
      <c r="Q71" s="551"/>
    </row>
    <row r="72" spans="13:17" x14ac:dyDescent="0.2">
      <c r="M72" s="257"/>
      <c r="O72" s="550"/>
      <c r="P72" s="550"/>
      <c r="Q72" s="551"/>
    </row>
    <row r="73" spans="13:17" x14ac:dyDescent="0.2">
      <c r="M73" s="257"/>
      <c r="O73" s="550"/>
      <c r="P73" s="550"/>
      <c r="Q73" s="551"/>
    </row>
    <row r="74" spans="13:17" x14ac:dyDescent="0.2">
      <c r="M74" s="257"/>
      <c r="O74" s="550"/>
      <c r="P74" s="550"/>
      <c r="Q74" s="551"/>
    </row>
    <row r="75" spans="13:17" x14ac:dyDescent="0.2">
      <c r="M75" s="257"/>
      <c r="O75" s="550"/>
      <c r="P75" s="550"/>
      <c r="Q75" s="551"/>
    </row>
    <row r="76" spans="13:17" x14ac:dyDescent="0.2">
      <c r="M76" s="257"/>
      <c r="O76" s="550"/>
      <c r="P76" s="550"/>
      <c r="Q76" s="551"/>
    </row>
    <row r="77" spans="13:17" x14ac:dyDescent="0.2">
      <c r="M77" s="257"/>
      <c r="O77" s="550"/>
      <c r="P77" s="550"/>
      <c r="Q77" s="551"/>
    </row>
    <row r="78" spans="13:17" x14ac:dyDescent="0.2">
      <c r="M78" s="257"/>
      <c r="O78" s="550"/>
      <c r="P78" s="550"/>
      <c r="Q78" s="551"/>
    </row>
    <row r="79" spans="13:17" x14ac:dyDescent="0.2">
      <c r="M79" s="257"/>
      <c r="O79" s="550"/>
      <c r="P79" s="550"/>
      <c r="Q79" s="551"/>
    </row>
    <row r="80" spans="13:17" x14ac:dyDescent="0.2">
      <c r="M80" s="257"/>
      <c r="O80" s="550"/>
      <c r="P80" s="550"/>
      <c r="Q80" s="551"/>
    </row>
    <row r="81" spans="13:17" x14ac:dyDescent="0.2">
      <c r="M81" s="257"/>
      <c r="O81" s="550"/>
      <c r="P81" s="550"/>
      <c r="Q81" s="551"/>
    </row>
    <row r="82" spans="13:17" x14ac:dyDescent="0.2">
      <c r="M82" s="257"/>
      <c r="O82" s="550"/>
      <c r="P82" s="550"/>
      <c r="Q82" s="551"/>
    </row>
    <row r="83" spans="13:17" x14ac:dyDescent="0.2">
      <c r="M83" s="257"/>
      <c r="O83" s="550"/>
      <c r="P83" s="550"/>
      <c r="Q83" s="551"/>
    </row>
    <row r="84" spans="13:17" x14ac:dyDescent="0.2">
      <c r="M84" s="257"/>
      <c r="O84" s="550"/>
      <c r="P84" s="550"/>
      <c r="Q84" s="551"/>
    </row>
    <row r="85" spans="13:17" x14ac:dyDescent="0.2">
      <c r="M85" s="257"/>
      <c r="O85" s="550"/>
      <c r="P85" s="550"/>
      <c r="Q85" s="551"/>
    </row>
    <row r="86" spans="13:17" x14ac:dyDescent="0.2">
      <c r="M86" s="257"/>
      <c r="O86" s="550"/>
      <c r="P86" s="550"/>
      <c r="Q86" s="551"/>
    </row>
    <row r="87" spans="13:17" x14ac:dyDescent="0.2">
      <c r="M87" s="257"/>
      <c r="O87" s="550"/>
      <c r="P87" s="550"/>
      <c r="Q87" s="551"/>
    </row>
    <row r="88" spans="13:17" x14ac:dyDescent="0.2">
      <c r="M88" s="257"/>
      <c r="O88" s="550"/>
      <c r="P88" s="550"/>
      <c r="Q88" s="551"/>
    </row>
    <row r="89" spans="13:17" x14ac:dyDescent="0.2">
      <c r="M89" s="257"/>
      <c r="O89" s="550"/>
      <c r="P89" s="550"/>
      <c r="Q89" s="551"/>
    </row>
    <row r="90" spans="13:17" x14ac:dyDescent="0.2">
      <c r="M90" s="257"/>
      <c r="O90" s="550"/>
      <c r="P90" s="550"/>
      <c r="Q90" s="551"/>
    </row>
    <row r="91" spans="13:17" x14ac:dyDescent="0.2">
      <c r="M91" s="257"/>
      <c r="O91" s="550"/>
      <c r="P91" s="550"/>
      <c r="Q91" s="551"/>
    </row>
    <row r="92" spans="13:17" x14ac:dyDescent="0.2">
      <c r="M92" s="257"/>
      <c r="O92" s="550"/>
      <c r="P92" s="550"/>
      <c r="Q92" s="551"/>
    </row>
    <row r="93" spans="13:17" x14ac:dyDescent="0.2">
      <c r="M93" s="257"/>
      <c r="O93" s="550"/>
      <c r="P93" s="550"/>
      <c r="Q93" s="551"/>
    </row>
    <row r="94" spans="13:17" x14ac:dyDescent="0.2">
      <c r="M94" s="257"/>
      <c r="O94" s="550"/>
      <c r="P94" s="550"/>
      <c r="Q94" s="551"/>
    </row>
    <row r="95" spans="13:17" x14ac:dyDescent="0.2">
      <c r="M95" s="257"/>
      <c r="O95" s="550"/>
      <c r="P95" s="550"/>
      <c r="Q95" s="551"/>
    </row>
    <row r="96" spans="13:17" x14ac:dyDescent="0.2">
      <c r="M96" s="257"/>
      <c r="O96" s="550"/>
      <c r="P96" s="550"/>
      <c r="Q96" s="551"/>
    </row>
    <row r="97" spans="13:17" x14ac:dyDescent="0.2">
      <c r="M97" s="257"/>
      <c r="O97" s="550"/>
      <c r="P97" s="550"/>
      <c r="Q97" s="551"/>
    </row>
    <row r="98" spans="13:17" x14ac:dyDescent="0.2">
      <c r="M98" s="257"/>
      <c r="O98" s="550"/>
      <c r="P98" s="550"/>
      <c r="Q98" s="551"/>
    </row>
  </sheetData>
  <mergeCells count="51">
    <mergeCell ref="C8:F8"/>
    <mergeCell ref="G8:I8"/>
    <mergeCell ref="A3:B3"/>
    <mergeCell ref="A4:B4"/>
    <mergeCell ref="L6:M6"/>
    <mergeCell ref="A7:K7"/>
    <mergeCell ref="N6:P6"/>
    <mergeCell ref="L3:M3"/>
    <mergeCell ref="N3:P3"/>
    <mergeCell ref="L4:M4"/>
    <mergeCell ref="N4:P4"/>
    <mergeCell ref="L5:M5"/>
    <mergeCell ref="N5:P5"/>
    <mergeCell ref="C1:K1"/>
    <mergeCell ref="D2:F2"/>
    <mergeCell ref="D3:F3"/>
    <mergeCell ref="D4:F4"/>
    <mergeCell ref="G5:I6"/>
    <mergeCell ref="J5:K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50:B51"/>
    <mergeCell ref="C38:F38"/>
    <mergeCell ref="G38:I38"/>
    <mergeCell ref="H9:H10"/>
    <mergeCell ref="I9:I10"/>
    <mergeCell ref="F51:F52"/>
    <mergeCell ref="G51:G52"/>
    <mergeCell ref="I51:I52"/>
    <mergeCell ref="C27:F27"/>
    <mergeCell ref="G27:I27"/>
    <mergeCell ref="J51:J52"/>
    <mergeCell ref="K51:K52"/>
    <mergeCell ref="F49:F50"/>
    <mergeCell ref="G49:G50"/>
    <mergeCell ref="I49:I50"/>
    <mergeCell ref="J49:J50"/>
    <mergeCell ref="K49:K50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AA80"/>
  <sheetViews>
    <sheetView topLeftCell="A71" zoomScaleNormal="100" zoomScaleSheetLayoutView="90" zoomScalePageLayoutView="75" workbookViewId="0">
      <selection activeCell="J71" sqref="J71"/>
    </sheetView>
  </sheetViews>
  <sheetFormatPr defaultColWidth="9.140625" defaultRowHeight="12.75" x14ac:dyDescent="0.2"/>
  <cols>
    <col min="1" max="1" width="12.140625" style="157" customWidth="1"/>
    <col min="2" max="2" width="45.42578125" style="157" customWidth="1"/>
    <col min="3" max="3" width="8.42578125" style="579" customWidth="1"/>
    <col min="4" max="4" width="5" style="374" customWidth="1"/>
    <col min="5" max="5" width="11.42578125" style="157" customWidth="1"/>
    <col min="6" max="6" width="12.5703125" style="157" customWidth="1"/>
    <col min="7" max="7" width="7" style="580" customWidth="1"/>
    <col min="8" max="8" width="11.42578125" style="157" customWidth="1"/>
    <col min="9" max="9" width="12.5703125" style="157" customWidth="1"/>
    <col min="10" max="10" width="16.140625" style="157" customWidth="1"/>
    <col min="11" max="11" width="14.42578125" style="157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8" width="9.140625" style="157"/>
    <col min="19" max="19" width="13.5703125" style="157" customWidth="1"/>
    <col min="20" max="20" width="9.140625" style="157"/>
    <col min="21" max="21" width="13.42578125" style="157" customWidth="1"/>
    <col min="22" max="22" width="12.5703125" style="157" customWidth="1"/>
    <col min="23" max="23" width="29" style="157" bestFit="1" customWidth="1"/>
    <col min="24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4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09"/>
      <c r="D9" s="1009"/>
      <c r="E9" s="1005"/>
      <c r="F9" s="1005"/>
      <c r="G9" s="1010"/>
      <c r="H9" s="1005"/>
      <c r="I9" s="1005"/>
      <c r="J9" s="1005"/>
      <c r="K9" s="1008"/>
      <c r="L9" s="470"/>
      <c r="M9" s="469"/>
      <c r="N9" s="415"/>
      <c r="O9" s="416"/>
      <c r="P9" s="416"/>
    </row>
    <row r="10" spans="1:17" ht="13.5" thickBot="1" x14ac:dyDescent="0.25">
      <c r="A10" s="403"/>
      <c r="B10" s="524"/>
      <c r="C10" s="1009"/>
      <c r="D10" s="1009"/>
      <c r="E10" s="1005"/>
      <c r="F10" s="1005"/>
      <c r="G10" s="1010"/>
      <c r="H10" s="1005"/>
      <c r="I10" s="1005"/>
      <c r="J10" s="1005"/>
      <c r="K10" s="1008"/>
      <c r="L10" s="470"/>
      <c r="M10" s="469"/>
      <c r="N10" s="415"/>
      <c r="O10" s="416"/>
      <c r="P10" s="416"/>
    </row>
    <row r="11" spans="1:17" ht="14.25" thickTop="1" thickBot="1" x14ac:dyDescent="0.25">
      <c r="A11" s="355" t="s">
        <v>0</v>
      </c>
      <c r="B11" s="356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357"/>
      <c r="K11" s="525"/>
      <c r="L11" s="951" t="s">
        <v>780</v>
      </c>
      <c r="M11" s="953" t="s">
        <v>781</v>
      </c>
      <c r="N11" s="955" t="s">
        <v>782</v>
      </c>
      <c r="O11" s="957"/>
      <c r="P11" s="959"/>
      <c r="Q11" s="949"/>
    </row>
    <row r="12" spans="1:17" ht="15.75" x14ac:dyDescent="0.25">
      <c r="A12" s="527" t="s">
        <v>159</v>
      </c>
      <c r="B12" s="527" t="s">
        <v>160</v>
      </c>
      <c r="C12" s="361" t="s">
        <v>19</v>
      </c>
      <c r="D12" s="362" t="s">
        <v>33</v>
      </c>
      <c r="E12" s="363" t="s">
        <v>35</v>
      </c>
      <c r="F12" s="364" t="s">
        <v>30</v>
      </c>
      <c r="G12" s="528" t="s">
        <v>14</v>
      </c>
      <c r="H12" s="363" t="s">
        <v>35</v>
      </c>
      <c r="I12" s="364" t="s">
        <v>30</v>
      </c>
      <c r="J12" s="366" t="s">
        <v>659</v>
      </c>
      <c r="K12" s="529" t="s">
        <v>38</v>
      </c>
      <c r="L12" s="952"/>
      <c r="M12" s="954"/>
      <c r="N12" s="956"/>
      <c r="O12" s="958"/>
      <c r="P12" s="960"/>
      <c r="Q12" s="950"/>
    </row>
    <row r="13" spans="1:17" x14ac:dyDescent="0.2">
      <c r="A13" s="372" t="s">
        <v>880</v>
      </c>
      <c r="B13" s="10" t="s">
        <v>879</v>
      </c>
      <c r="C13" s="373"/>
      <c r="E13" s="255"/>
      <c r="F13" s="375"/>
      <c r="G13" s="531"/>
      <c r="H13" s="377"/>
      <c r="I13" s="375"/>
      <c r="J13" s="378"/>
      <c r="K13" s="532">
        <f t="shared" ref="K13:K20" si="0">F13+I13+J13</f>
        <v>0</v>
      </c>
      <c r="L13" s="380"/>
      <c r="M13" s="381"/>
      <c r="N13" s="382"/>
      <c r="O13" s="383"/>
      <c r="P13" s="384"/>
      <c r="Q13" s="385"/>
    </row>
    <row r="14" spans="1:17" x14ac:dyDescent="0.2">
      <c r="A14" s="372" t="s">
        <v>881</v>
      </c>
      <c r="B14" s="5" t="s">
        <v>784</v>
      </c>
      <c r="C14" s="373"/>
      <c r="D14" s="374" t="s">
        <v>750</v>
      </c>
      <c r="E14" s="255">
        <v>25</v>
      </c>
      <c r="F14" s="375">
        <f t="shared" ref="F14:F20" si="1">C14*E14</f>
        <v>0</v>
      </c>
      <c r="G14" s="531"/>
      <c r="H14" s="377">
        <v>0</v>
      </c>
      <c r="I14" s="375">
        <f t="shared" ref="I14:I20" si="2">G14*H14</f>
        <v>0</v>
      </c>
      <c r="J14" s="378"/>
      <c r="K14" s="532">
        <f t="shared" si="0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 t="s">
        <v>882</v>
      </c>
      <c r="B15" s="5" t="s">
        <v>788</v>
      </c>
      <c r="C15" s="373"/>
      <c r="D15" s="374" t="s">
        <v>750</v>
      </c>
      <c r="E15" s="255">
        <v>45</v>
      </c>
      <c r="F15" s="375">
        <f t="shared" si="1"/>
        <v>0</v>
      </c>
      <c r="G15" s="531"/>
      <c r="H15" s="377">
        <v>0</v>
      </c>
      <c r="I15" s="375">
        <f t="shared" si="2"/>
        <v>0</v>
      </c>
      <c r="J15" s="378"/>
      <c r="K15" s="532">
        <f t="shared" si="0"/>
        <v>0</v>
      </c>
      <c r="L15" s="380"/>
      <c r="M15" s="381"/>
      <c r="N15" s="382"/>
      <c r="O15" s="383"/>
      <c r="P15" s="384"/>
      <c r="Q15" s="385"/>
    </row>
    <row r="16" spans="1:17" x14ac:dyDescent="0.2">
      <c r="A16" s="372" t="s">
        <v>883</v>
      </c>
      <c r="B16" s="5" t="s">
        <v>789</v>
      </c>
      <c r="C16" s="373"/>
      <c r="D16" s="374" t="s">
        <v>751</v>
      </c>
      <c r="E16" s="255">
        <v>150</v>
      </c>
      <c r="F16" s="375">
        <f t="shared" si="1"/>
        <v>0</v>
      </c>
      <c r="G16" s="531"/>
      <c r="H16" s="377">
        <v>0</v>
      </c>
      <c r="I16" s="375">
        <f t="shared" si="2"/>
        <v>0</v>
      </c>
      <c r="J16" s="378"/>
      <c r="K16" s="532">
        <f t="shared" si="0"/>
        <v>0</v>
      </c>
      <c r="L16" s="380"/>
      <c r="M16" s="381"/>
      <c r="N16" s="382"/>
      <c r="O16" s="383"/>
      <c r="P16" s="384"/>
      <c r="Q16" s="385"/>
    </row>
    <row r="17" spans="1:27" x14ac:dyDescent="0.2">
      <c r="A17" s="372"/>
      <c r="B17" s="6"/>
      <c r="C17" s="373"/>
      <c r="D17" s="374" t="s">
        <v>21</v>
      </c>
      <c r="E17" s="255">
        <v>0</v>
      </c>
      <c r="F17" s="375">
        <f t="shared" si="1"/>
        <v>0</v>
      </c>
      <c r="G17" s="531"/>
      <c r="H17" s="377">
        <v>0</v>
      </c>
      <c r="I17" s="375">
        <f t="shared" si="2"/>
        <v>0</v>
      </c>
      <c r="J17" s="378"/>
      <c r="K17" s="532">
        <f t="shared" si="0"/>
        <v>0</v>
      </c>
      <c r="L17" s="380"/>
      <c r="M17" s="381"/>
      <c r="N17" s="382"/>
      <c r="O17" s="383"/>
      <c r="P17" s="384"/>
      <c r="Q17" s="385"/>
    </row>
    <row r="18" spans="1:27" x14ac:dyDescent="0.2">
      <c r="A18" s="386"/>
      <c r="B18" s="5"/>
      <c r="C18" s="373"/>
      <c r="D18" s="374" t="s">
        <v>21</v>
      </c>
      <c r="E18" s="255">
        <v>0</v>
      </c>
      <c r="F18" s="375">
        <f t="shared" si="1"/>
        <v>0</v>
      </c>
      <c r="G18" s="531"/>
      <c r="H18" s="377">
        <v>0</v>
      </c>
      <c r="I18" s="375">
        <f t="shared" si="2"/>
        <v>0</v>
      </c>
      <c r="J18" s="378"/>
      <c r="K18" s="532">
        <f t="shared" si="0"/>
        <v>0</v>
      </c>
      <c r="L18" s="380"/>
      <c r="M18" s="381"/>
      <c r="N18" s="382"/>
      <c r="O18" s="383"/>
      <c r="P18" s="384"/>
      <c r="Q18" s="385"/>
    </row>
    <row r="19" spans="1:27" x14ac:dyDescent="0.2">
      <c r="A19" s="386"/>
      <c r="B19" s="5"/>
      <c r="C19" s="373"/>
      <c r="D19" s="374" t="s">
        <v>21</v>
      </c>
      <c r="E19" s="255">
        <v>0</v>
      </c>
      <c r="F19" s="375">
        <f t="shared" si="1"/>
        <v>0</v>
      </c>
      <c r="G19" s="531"/>
      <c r="H19" s="377">
        <v>0</v>
      </c>
      <c r="I19" s="375">
        <f t="shared" si="2"/>
        <v>0</v>
      </c>
      <c r="J19" s="378"/>
      <c r="K19" s="532">
        <f t="shared" si="0"/>
        <v>0</v>
      </c>
      <c r="L19" s="380"/>
      <c r="M19" s="381"/>
      <c r="N19" s="382"/>
      <c r="O19" s="383"/>
      <c r="P19" s="384"/>
      <c r="Q19" s="385"/>
    </row>
    <row r="20" spans="1:27" x14ac:dyDescent="0.2">
      <c r="A20" s="386"/>
      <c r="B20" s="5"/>
      <c r="C20" s="373"/>
      <c r="D20" s="374" t="s">
        <v>21</v>
      </c>
      <c r="E20" s="255">
        <v>0</v>
      </c>
      <c r="F20" s="375">
        <f t="shared" si="1"/>
        <v>0</v>
      </c>
      <c r="G20" s="531"/>
      <c r="H20" s="377">
        <v>0</v>
      </c>
      <c r="I20" s="375">
        <f t="shared" si="2"/>
        <v>0</v>
      </c>
      <c r="J20" s="378"/>
      <c r="K20" s="532">
        <f t="shared" si="0"/>
        <v>0</v>
      </c>
      <c r="L20" s="380"/>
      <c r="M20" s="381"/>
      <c r="N20" s="382"/>
      <c r="O20" s="383"/>
      <c r="P20" s="384"/>
      <c r="Q20" s="385"/>
    </row>
    <row r="21" spans="1:27" x14ac:dyDescent="0.2">
      <c r="C21" s="157"/>
      <c r="D21" s="157"/>
      <c r="G21" s="157"/>
      <c r="L21" s="380"/>
      <c r="M21" s="381"/>
      <c r="N21" s="382"/>
      <c r="O21" s="383"/>
      <c r="P21" s="384"/>
      <c r="Q21" s="385"/>
    </row>
    <row r="22" spans="1:27" x14ac:dyDescent="0.2">
      <c r="C22" s="157"/>
      <c r="D22" s="157"/>
      <c r="G22" s="157"/>
      <c r="L22" s="380"/>
      <c r="M22" s="381"/>
      <c r="N22" s="382"/>
      <c r="O22" s="383"/>
      <c r="P22" s="384"/>
      <c r="Q22" s="385"/>
    </row>
    <row r="23" spans="1:27" x14ac:dyDescent="0.2">
      <c r="A23" s="386"/>
      <c r="B23" s="5"/>
      <c r="C23" s="373"/>
      <c r="E23" s="255"/>
      <c r="F23" s="375"/>
      <c r="G23" s="531"/>
      <c r="H23" s="377"/>
      <c r="I23" s="375"/>
      <c r="J23" s="378"/>
      <c r="K23" s="532"/>
      <c r="L23" s="380"/>
      <c r="M23" s="381"/>
      <c r="N23" s="382"/>
      <c r="O23" s="383"/>
      <c r="P23" s="384"/>
      <c r="Q23" s="385"/>
    </row>
    <row r="24" spans="1:27" x14ac:dyDescent="0.2">
      <c r="A24" s="386"/>
      <c r="B24" s="5"/>
      <c r="C24" s="373"/>
      <c r="E24" s="255"/>
      <c r="F24" s="375"/>
      <c r="G24" s="531"/>
      <c r="H24" s="377"/>
      <c r="I24" s="375"/>
      <c r="J24" s="378"/>
      <c r="K24" s="532"/>
      <c r="L24" s="380"/>
      <c r="M24" s="381"/>
      <c r="N24" s="382"/>
      <c r="O24" s="383"/>
      <c r="P24" s="384"/>
      <c r="Q24" s="385"/>
    </row>
    <row r="25" spans="1:27" ht="13.5" thickBot="1" x14ac:dyDescent="0.25">
      <c r="A25" s="389"/>
      <c r="B25" s="7"/>
      <c r="C25" s="390"/>
      <c r="E25" s="255"/>
      <c r="F25" s="375"/>
      <c r="G25" s="531"/>
      <c r="H25" s="377"/>
      <c r="I25" s="375"/>
      <c r="J25" s="378"/>
      <c r="K25" s="532"/>
      <c r="L25" s="380"/>
      <c r="M25" s="381"/>
      <c r="N25" s="382"/>
      <c r="O25" s="383"/>
      <c r="P25" s="384"/>
      <c r="Q25" s="385"/>
    </row>
    <row r="26" spans="1:27" ht="13.5" thickTop="1" x14ac:dyDescent="0.2">
      <c r="A26" s="389"/>
      <c r="B26" s="7"/>
      <c r="C26" s="390"/>
      <c r="E26" s="255"/>
      <c r="F26" s="375"/>
      <c r="G26" s="531"/>
      <c r="H26" s="377"/>
      <c r="I26" s="375"/>
      <c r="J26" s="391" t="s">
        <v>30</v>
      </c>
      <c r="K26" s="534">
        <f>SUM(K13:K25)</f>
        <v>0</v>
      </c>
      <c r="L26" s="380"/>
      <c r="M26" s="381"/>
      <c r="N26" s="382"/>
      <c r="O26" s="383"/>
      <c r="P26" s="384"/>
      <c r="Q26" s="385"/>
    </row>
    <row r="27" spans="1:27" ht="13.5" thickBot="1" x14ac:dyDescent="0.25">
      <c r="A27" s="355" t="s">
        <v>0</v>
      </c>
      <c r="B27" s="356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357"/>
      <c r="K27" s="525"/>
      <c r="L27" s="393"/>
      <c r="M27" s="394"/>
      <c r="N27" s="395"/>
      <c r="O27" s="383"/>
      <c r="P27" s="384"/>
      <c r="Q27" s="385"/>
    </row>
    <row r="28" spans="1:27" ht="16.5" thickBot="1" x14ac:dyDescent="0.3">
      <c r="A28" s="527" t="s">
        <v>162</v>
      </c>
      <c r="B28" s="527" t="s">
        <v>161</v>
      </c>
      <c r="C28" s="398" t="s">
        <v>19</v>
      </c>
      <c r="D28" s="399" t="s">
        <v>33</v>
      </c>
      <c r="E28" s="400" t="s">
        <v>35</v>
      </c>
      <c r="F28" s="401" t="s">
        <v>30</v>
      </c>
      <c r="G28" s="535" t="s">
        <v>14</v>
      </c>
      <c r="H28" s="400" t="s">
        <v>35</v>
      </c>
      <c r="I28" s="401" t="s">
        <v>30</v>
      </c>
      <c r="J28" s="366" t="s">
        <v>659</v>
      </c>
      <c r="K28" s="536" t="s">
        <v>38</v>
      </c>
      <c r="L28" s="404"/>
      <c r="M28" s="405"/>
      <c r="N28" s="406"/>
      <c r="O28" s="383"/>
      <c r="P28" s="384"/>
      <c r="Q28" s="385"/>
    </row>
    <row r="29" spans="1:27" ht="13.5" thickTop="1" x14ac:dyDescent="0.2">
      <c r="A29" s="407" t="s">
        <v>885</v>
      </c>
      <c r="B29" s="553" t="s">
        <v>879</v>
      </c>
      <c r="C29" s="373"/>
      <c r="E29" s="255"/>
      <c r="F29" s="375"/>
      <c r="G29" s="531"/>
      <c r="H29" s="377"/>
      <c r="I29" s="375"/>
      <c r="J29" s="378"/>
      <c r="K29" s="532">
        <f t="shared" ref="K29:K35" si="3">F29+I29+J29</f>
        <v>0</v>
      </c>
      <c r="L29" s="380"/>
      <c r="M29" s="381"/>
      <c r="N29" s="382"/>
      <c r="O29" s="383"/>
      <c r="P29" s="384"/>
      <c r="Q29" s="385"/>
      <c r="S29" s="554"/>
      <c r="T29" s="555" t="s">
        <v>825</v>
      </c>
      <c r="U29" s="1013" t="s">
        <v>823</v>
      </c>
      <c r="V29" s="1014"/>
      <c r="W29" s="556" t="s">
        <v>826</v>
      </c>
      <c r="X29" s="555"/>
      <c r="Y29" s="555"/>
      <c r="Z29" s="557"/>
    </row>
    <row r="30" spans="1:27" ht="15.75" x14ac:dyDescent="0.25">
      <c r="A30" s="372" t="s">
        <v>884</v>
      </c>
      <c r="B30" s="5" t="s">
        <v>796</v>
      </c>
      <c r="C30" s="373"/>
      <c r="D30" s="374" t="s">
        <v>21</v>
      </c>
      <c r="E30" s="255">
        <v>0</v>
      </c>
      <c r="F30" s="375">
        <f t="shared" ref="F30:F35" si="4">C30*E30</f>
        <v>0</v>
      </c>
      <c r="G30" s="531"/>
      <c r="H30" s="377">
        <v>0</v>
      </c>
      <c r="I30" s="375">
        <f t="shared" ref="I30:I35" si="5">G30*H30</f>
        <v>0</v>
      </c>
      <c r="J30" s="378"/>
      <c r="K30" s="532">
        <f t="shared" si="3"/>
        <v>0</v>
      </c>
      <c r="L30" s="380"/>
      <c r="M30" s="381"/>
      <c r="N30" s="382"/>
      <c r="O30" s="383"/>
      <c r="P30" s="384"/>
      <c r="Q30" s="385"/>
      <c r="S30" s="558"/>
      <c r="T30" s="559"/>
      <c r="U30" s="560" t="s">
        <v>785</v>
      </c>
      <c r="V30" s="560" t="s">
        <v>786</v>
      </c>
      <c r="W30" s="560" t="s">
        <v>824</v>
      </c>
      <c r="X30" s="559" t="s">
        <v>774</v>
      </c>
      <c r="Y30" s="559" t="s">
        <v>783</v>
      </c>
      <c r="Z30" s="561"/>
      <c r="AA30" s="562"/>
    </row>
    <row r="31" spans="1:27" ht="15" x14ac:dyDescent="0.25">
      <c r="A31" s="372" t="s">
        <v>886</v>
      </c>
      <c r="B31" s="5" t="s">
        <v>797</v>
      </c>
      <c r="C31" s="373"/>
      <c r="D31" s="374" t="s">
        <v>21</v>
      </c>
      <c r="E31" s="255">
        <v>0</v>
      </c>
      <c r="F31" s="375">
        <f t="shared" si="4"/>
        <v>0</v>
      </c>
      <c r="G31" s="531"/>
      <c r="H31" s="377">
        <v>0</v>
      </c>
      <c r="I31" s="375">
        <f t="shared" si="5"/>
        <v>0</v>
      </c>
      <c r="J31" s="378"/>
      <c r="K31" s="532">
        <f t="shared" si="3"/>
        <v>0</v>
      </c>
      <c r="L31" s="380"/>
      <c r="M31" s="381"/>
      <c r="N31" s="382"/>
      <c r="O31" s="383"/>
      <c r="P31" s="384"/>
      <c r="Q31" s="385"/>
      <c r="S31" s="563" t="s">
        <v>784</v>
      </c>
      <c r="T31" s="559">
        <v>1</v>
      </c>
      <c r="U31" s="559"/>
      <c r="V31" s="559"/>
      <c r="W31" s="559"/>
      <c r="X31" s="559"/>
      <c r="Y31" s="559">
        <f>U31*V31*W31*0.0000163871*X31</f>
        <v>0</v>
      </c>
      <c r="Z31" s="561"/>
    </row>
    <row r="32" spans="1:27" ht="15" x14ac:dyDescent="0.25">
      <c r="A32" s="372"/>
      <c r="B32" s="5"/>
      <c r="C32" s="373"/>
      <c r="D32" s="374" t="s">
        <v>21</v>
      </c>
      <c r="E32" s="255">
        <v>0</v>
      </c>
      <c r="F32" s="375">
        <f t="shared" si="4"/>
        <v>0</v>
      </c>
      <c r="G32" s="531"/>
      <c r="H32" s="377">
        <v>0</v>
      </c>
      <c r="I32" s="375">
        <f t="shared" si="5"/>
        <v>0</v>
      </c>
      <c r="J32" s="378"/>
      <c r="K32" s="532">
        <f t="shared" si="3"/>
        <v>0</v>
      </c>
      <c r="L32" s="380"/>
      <c r="M32" s="381"/>
      <c r="N32" s="382"/>
      <c r="O32" s="383"/>
      <c r="P32" s="384"/>
      <c r="Q32" s="385"/>
      <c r="S32" s="563"/>
      <c r="T32" s="559">
        <v>2</v>
      </c>
      <c r="U32" s="559"/>
      <c r="V32" s="559"/>
      <c r="W32" s="559"/>
      <c r="X32" s="559"/>
      <c r="Y32" s="559">
        <f>U32*V32*W32*0.0000163871*X32</f>
        <v>0</v>
      </c>
      <c r="Z32" s="561"/>
    </row>
    <row r="33" spans="1:26" ht="15" x14ac:dyDescent="0.25">
      <c r="A33" s="372"/>
      <c r="B33" s="5"/>
      <c r="C33" s="373"/>
      <c r="D33" s="374" t="s">
        <v>21</v>
      </c>
      <c r="E33" s="255">
        <v>0</v>
      </c>
      <c r="F33" s="375">
        <f t="shared" si="4"/>
        <v>0</v>
      </c>
      <c r="G33" s="531"/>
      <c r="H33" s="377">
        <v>0</v>
      </c>
      <c r="I33" s="375">
        <f t="shared" si="5"/>
        <v>0</v>
      </c>
      <c r="J33" s="378"/>
      <c r="K33" s="532">
        <f t="shared" si="3"/>
        <v>0</v>
      </c>
      <c r="L33" s="380"/>
      <c r="M33" s="381"/>
      <c r="N33" s="382"/>
      <c r="O33" s="383"/>
      <c r="P33" s="384"/>
      <c r="Q33" s="385"/>
      <c r="S33" s="563"/>
      <c r="T33" s="559"/>
      <c r="U33" s="559" t="s">
        <v>829</v>
      </c>
      <c r="V33" s="559" t="s">
        <v>830</v>
      </c>
      <c r="W33" s="559" t="s">
        <v>831</v>
      </c>
      <c r="X33" s="559"/>
      <c r="Y33" s="559"/>
      <c r="Z33" s="561"/>
    </row>
    <row r="34" spans="1:26" ht="15" x14ac:dyDescent="0.25">
      <c r="A34" s="372"/>
      <c r="B34" s="5"/>
      <c r="C34" s="373"/>
      <c r="D34" s="374" t="s">
        <v>21</v>
      </c>
      <c r="E34" s="255">
        <v>0</v>
      </c>
      <c r="F34" s="375">
        <f t="shared" si="4"/>
        <v>0</v>
      </c>
      <c r="G34" s="531"/>
      <c r="H34" s="377">
        <v>0</v>
      </c>
      <c r="I34" s="375">
        <f t="shared" si="5"/>
        <v>0</v>
      </c>
      <c r="J34" s="378"/>
      <c r="K34" s="532">
        <f t="shared" si="3"/>
        <v>0</v>
      </c>
      <c r="L34" s="380"/>
      <c r="M34" s="381"/>
      <c r="N34" s="382"/>
      <c r="O34" s="383"/>
      <c r="P34" s="384"/>
      <c r="Q34" s="385"/>
      <c r="S34" s="563" t="s">
        <v>787</v>
      </c>
      <c r="T34" s="559"/>
      <c r="U34" s="559"/>
      <c r="V34" s="559"/>
      <c r="W34" s="559"/>
      <c r="X34" s="559"/>
      <c r="Y34" s="559">
        <f>U34*V34*W34*0.028</f>
        <v>0</v>
      </c>
      <c r="Z34" s="561"/>
    </row>
    <row r="35" spans="1:26" ht="15" x14ac:dyDescent="0.25">
      <c r="A35" s="372"/>
      <c r="B35" s="5"/>
      <c r="C35" s="373"/>
      <c r="D35" s="374" t="s">
        <v>21</v>
      </c>
      <c r="E35" s="255">
        <v>0</v>
      </c>
      <c r="F35" s="375">
        <f t="shared" si="4"/>
        <v>0</v>
      </c>
      <c r="G35" s="531"/>
      <c r="H35" s="377">
        <v>0</v>
      </c>
      <c r="I35" s="375">
        <f t="shared" si="5"/>
        <v>0</v>
      </c>
      <c r="J35" s="378"/>
      <c r="K35" s="532">
        <f t="shared" si="3"/>
        <v>0</v>
      </c>
      <c r="L35" s="380"/>
      <c r="M35" s="381"/>
      <c r="N35" s="382"/>
      <c r="O35" s="383"/>
      <c r="P35" s="384"/>
      <c r="Q35" s="385"/>
      <c r="S35" s="563" t="s">
        <v>788</v>
      </c>
      <c r="T35" s="559"/>
      <c r="U35" s="559"/>
      <c r="V35" s="559"/>
      <c r="W35" s="559"/>
      <c r="X35" s="559"/>
      <c r="Y35" s="559">
        <f>U35*V35*W35*0.028</f>
        <v>0</v>
      </c>
      <c r="Z35" s="561"/>
    </row>
    <row r="36" spans="1:26" ht="15.75" thickBot="1" x14ac:dyDescent="0.3">
      <c r="A36" s="372"/>
      <c r="B36" s="5"/>
      <c r="C36" s="390"/>
      <c r="E36" s="255"/>
      <c r="F36" s="375"/>
      <c r="G36" s="531"/>
      <c r="H36" s="377"/>
      <c r="I36" s="375"/>
      <c r="J36" s="378"/>
      <c r="K36" s="537"/>
      <c r="L36" s="380"/>
      <c r="M36" s="381"/>
      <c r="N36" s="382"/>
      <c r="O36" s="383"/>
      <c r="P36" s="384"/>
      <c r="Q36" s="385"/>
      <c r="S36" s="563" t="s">
        <v>789</v>
      </c>
      <c r="T36" s="559"/>
      <c r="U36" s="559"/>
      <c r="V36" s="559"/>
      <c r="W36" s="559"/>
      <c r="X36" s="559"/>
      <c r="Y36" s="559">
        <f>U36*V36*W36*0.028*X36</f>
        <v>0</v>
      </c>
      <c r="Z36" s="561"/>
    </row>
    <row r="37" spans="1:26" ht="15.75" thickTop="1" x14ac:dyDescent="0.25">
      <c r="A37" s="389"/>
      <c r="B37" s="5"/>
      <c r="C37" s="390"/>
      <c r="E37" s="255"/>
      <c r="F37" s="375"/>
      <c r="G37" s="531"/>
      <c r="H37" s="377"/>
      <c r="I37" s="375"/>
      <c r="J37" s="391" t="s">
        <v>30</v>
      </c>
      <c r="K37" s="534">
        <f>SUM(K29:K36)</f>
        <v>0</v>
      </c>
      <c r="L37" s="380"/>
      <c r="M37" s="381"/>
      <c r="N37" s="382"/>
      <c r="O37" s="383"/>
      <c r="P37" s="384"/>
      <c r="Q37" s="385"/>
      <c r="S37" s="563"/>
      <c r="T37" s="559"/>
      <c r="U37" s="559" t="s">
        <v>828</v>
      </c>
      <c r="V37" s="559"/>
      <c r="W37" s="559" t="s">
        <v>827</v>
      </c>
      <c r="X37" s="559"/>
      <c r="Y37" s="559"/>
      <c r="Z37" s="561"/>
    </row>
    <row r="38" spans="1:26" ht="15.75" thickBot="1" x14ac:dyDescent="0.3">
      <c r="A38" s="355" t="s">
        <v>0</v>
      </c>
      <c r="B38" s="356" t="s">
        <v>1</v>
      </c>
      <c r="C38" s="948" t="s">
        <v>656</v>
      </c>
      <c r="D38" s="948"/>
      <c r="E38" s="948"/>
      <c r="F38" s="948"/>
      <c r="G38" s="948" t="s">
        <v>34</v>
      </c>
      <c r="H38" s="948"/>
      <c r="I38" s="948"/>
      <c r="J38" s="357"/>
      <c r="K38" s="525"/>
      <c r="L38" s="393"/>
      <c r="M38" s="394"/>
      <c r="N38" s="395"/>
      <c r="O38" s="383"/>
      <c r="P38" s="384"/>
      <c r="Q38" s="385"/>
      <c r="S38" s="563" t="s">
        <v>790</v>
      </c>
      <c r="T38" s="559"/>
      <c r="U38" s="564"/>
      <c r="V38" s="559"/>
      <c r="W38" s="565"/>
      <c r="X38" s="559"/>
      <c r="Y38" s="559">
        <f>U38*W38*0.028</f>
        <v>0</v>
      </c>
      <c r="Z38" s="561"/>
    </row>
    <row r="39" spans="1:26" ht="16.5" thickBot="1" x14ac:dyDescent="0.3">
      <c r="A39" s="527" t="s">
        <v>163</v>
      </c>
      <c r="B39" s="527" t="s">
        <v>167</v>
      </c>
      <c r="C39" s="398" t="s">
        <v>19</v>
      </c>
      <c r="D39" s="399" t="s">
        <v>33</v>
      </c>
      <c r="E39" s="400" t="s">
        <v>35</v>
      </c>
      <c r="F39" s="401" t="s">
        <v>30</v>
      </c>
      <c r="G39" s="535" t="s">
        <v>14</v>
      </c>
      <c r="H39" s="400" t="s">
        <v>35</v>
      </c>
      <c r="I39" s="401" t="s">
        <v>30</v>
      </c>
      <c r="J39" s="366" t="s">
        <v>659</v>
      </c>
      <c r="K39" s="536" t="s">
        <v>38</v>
      </c>
      <c r="L39" s="404"/>
      <c r="M39" s="410"/>
      <c r="N39" s="411"/>
      <c r="O39" s="412"/>
      <c r="P39" s="413"/>
      <c r="Q39" s="385"/>
      <c r="S39" s="563" t="s">
        <v>791</v>
      </c>
      <c r="T39" s="559"/>
      <c r="U39" s="559"/>
      <c r="V39" s="559"/>
      <c r="W39" s="559"/>
      <c r="X39" s="559"/>
      <c r="Y39" s="559">
        <f>U39*W39*0.028</f>
        <v>0</v>
      </c>
      <c r="Z39" s="561"/>
    </row>
    <row r="40" spans="1:26" x14ac:dyDescent="0.2">
      <c r="A40" s="407" t="s">
        <v>887</v>
      </c>
      <c r="B40" s="408" t="s">
        <v>820</v>
      </c>
      <c r="C40" s="566">
        <f>Y44</f>
        <v>0</v>
      </c>
      <c r="D40" s="374" t="s">
        <v>819</v>
      </c>
      <c r="E40" s="255">
        <v>0</v>
      </c>
      <c r="F40" s="375">
        <f t="shared" ref="F40:F45" si="6">C40*E40</f>
        <v>0</v>
      </c>
      <c r="G40" s="531"/>
      <c r="H40" s="377">
        <v>0</v>
      </c>
      <c r="I40" s="375">
        <f t="shared" ref="I40:I45" si="7">G40*H40</f>
        <v>0</v>
      </c>
      <c r="J40" s="378"/>
      <c r="K40" s="532">
        <f t="shared" ref="K40:K45" si="8">F40+I40+J40</f>
        <v>0</v>
      </c>
      <c r="L40" s="380"/>
      <c r="M40" s="257"/>
      <c r="N40" s="423"/>
      <c r="O40" s="412"/>
      <c r="P40" s="413"/>
      <c r="Q40" s="385"/>
      <c r="S40" s="558"/>
      <c r="T40" s="559"/>
      <c r="U40" s="559"/>
      <c r="V40" s="559"/>
      <c r="W40" s="559"/>
      <c r="X40" s="559"/>
      <c r="Y40" s="559"/>
      <c r="Z40" s="561"/>
    </row>
    <row r="41" spans="1:26" x14ac:dyDescent="0.2">
      <c r="A41" s="372" t="s">
        <v>888</v>
      </c>
      <c r="B41" s="5" t="s">
        <v>821</v>
      </c>
      <c r="C41" s="566">
        <f>Y45</f>
        <v>0</v>
      </c>
      <c r="D41" s="374" t="s">
        <v>819</v>
      </c>
      <c r="E41" s="255">
        <v>0</v>
      </c>
      <c r="F41" s="375">
        <f t="shared" si="6"/>
        <v>0</v>
      </c>
      <c r="G41" s="531"/>
      <c r="H41" s="377">
        <v>0</v>
      </c>
      <c r="I41" s="375">
        <f t="shared" si="7"/>
        <v>0</v>
      </c>
      <c r="J41" s="378"/>
      <c r="K41" s="532">
        <f t="shared" si="8"/>
        <v>0</v>
      </c>
      <c r="L41" s="380"/>
      <c r="M41" s="257"/>
      <c r="N41" s="423"/>
      <c r="O41" s="412"/>
      <c r="P41" s="413"/>
      <c r="Q41" s="385"/>
      <c r="S41" s="567" t="s">
        <v>892</v>
      </c>
      <c r="T41" s="559"/>
      <c r="U41" s="559"/>
      <c r="V41" s="559"/>
      <c r="W41" s="559"/>
      <c r="X41" s="559"/>
      <c r="Y41" s="559">
        <f>U41*W41*0.028</f>
        <v>0</v>
      </c>
      <c r="Z41" s="561"/>
    </row>
    <row r="42" spans="1:26" x14ac:dyDescent="0.2">
      <c r="A42" s="372" t="s">
        <v>889</v>
      </c>
      <c r="B42" s="5" t="s">
        <v>822</v>
      </c>
      <c r="C42" s="566">
        <f>Y46</f>
        <v>0</v>
      </c>
      <c r="D42" s="374" t="s">
        <v>819</v>
      </c>
      <c r="E42" s="255">
        <v>0</v>
      </c>
      <c r="F42" s="375">
        <f t="shared" si="6"/>
        <v>0</v>
      </c>
      <c r="G42" s="531"/>
      <c r="H42" s="377">
        <v>0</v>
      </c>
      <c r="I42" s="375">
        <f t="shared" si="7"/>
        <v>0</v>
      </c>
      <c r="J42" s="378"/>
      <c r="K42" s="532">
        <f t="shared" si="8"/>
        <v>0</v>
      </c>
      <c r="L42" s="380"/>
      <c r="M42" s="257"/>
      <c r="N42" s="423"/>
      <c r="O42" s="412"/>
      <c r="P42" s="413"/>
      <c r="Q42" s="385"/>
      <c r="S42" s="558"/>
      <c r="T42" s="559"/>
      <c r="U42" s="559"/>
      <c r="V42" s="559"/>
      <c r="W42" s="559"/>
      <c r="X42" s="559"/>
      <c r="Y42" s="559"/>
      <c r="Z42" s="561"/>
    </row>
    <row r="43" spans="1:26" x14ac:dyDescent="0.2">
      <c r="A43" s="372" t="s">
        <v>890</v>
      </c>
      <c r="B43" s="5" t="s">
        <v>891</v>
      </c>
      <c r="C43" s="566">
        <f>Y47</f>
        <v>0</v>
      </c>
      <c r="D43" s="374" t="s">
        <v>819</v>
      </c>
      <c r="E43" s="255">
        <v>0</v>
      </c>
      <c r="F43" s="375">
        <f t="shared" si="6"/>
        <v>0</v>
      </c>
      <c r="G43" s="531"/>
      <c r="H43" s="377">
        <v>0</v>
      </c>
      <c r="I43" s="375">
        <f t="shared" si="7"/>
        <v>0</v>
      </c>
      <c r="J43" s="378"/>
      <c r="K43" s="532">
        <f t="shared" si="8"/>
        <v>0</v>
      </c>
      <c r="L43" s="380"/>
      <c r="M43" s="257"/>
      <c r="N43" s="423"/>
      <c r="O43" s="412"/>
      <c r="P43" s="413"/>
      <c r="Q43" s="385"/>
      <c r="S43" s="558"/>
      <c r="T43" s="559"/>
      <c r="U43" s="559"/>
      <c r="V43" s="559"/>
      <c r="W43" s="559"/>
      <c r="X43" s="559"/>
      <c r="Y43" s="559"/>
      <c r="Z43" s="561"/>
    </row>
    <row r="44" spans="1:26" ht="15.75" x14ac:dyDescent="0.25">
      <c r="A44" s="372"/>
      <c r="B44" s="5"/>
      <c r="C44" s="373"/>
      <c r="D44" s="374" t="s">
        <v>21</v>
      </c>
      <c r="E44" s="255">
        <v>0</v>
      </c>
      <c r="F44" s="375">
        <f t="shared" si="6"/>
        <v>0</v>
      </c>
      <c r="G44" s="531"/>
      <c r="H44" s="377">
        <v>0</v>
      </c>
      <c r="I44" s="375">
        <f t="shared" si="7"/>
        <v>0</v>
      </c>
      <c r="J44" s="378"/>
      <c r="K44" s="532">
        <f t="shared" si="8"/>
        <v>0</v>
      </c>
      <c r="L44" s="380"/>
      <c r="M44" s="257"/>
      <c r="N44" s="423"/>
      <c r="O44" s="412"/>
      <c r="P44" s="413"/>
      <c r="Q44" s="385"/>
      <c r="S44" s="558"/>
      <c r="T44" s="559"/>
      <c r="U44" s="559"/>
      <c r="V44" s="559"/>
      <c r="W44" s="568" t="s">
        <v>792</v>
      </c>
      <c r="X44" s="568"/>
      <c r="Y44" s="569">
        <f>Y38+Y39</f>
        <v>0</v>
      </c>
      <c r="Z44" s="561"/>
    </row>
    <row r="45" spans="1:26" ht="16.5" thickBot="1" x14ac:dyDescent="0.3">
      <c r="A45" s="389" t="s">
        <v>890</v>
      </c>
      <c r="B45" s="414" t="s">
        <v>795</v>
      </c>
      <c r="C45" s="570">
        <f>SUM(C40:C43)</f>
        <v>0</v>
      </c>
      <c r="D45" s="374" t="s">
        <v>819</v>
      </c>
      <c r="E45" s="255">
        <v>3</v>
      </c>
      <c r="F45" s="375">
        <f t="shared" si="6"/>
        <v>0</v>
      </c>
      <c r="G45" s="531"/>
      <c r="H45" s="377">
        <v>0</v>
      </c>
      <c r="I45" s="375">
        <f t="shared" si="7"/>
        <v>0</v>
      </c>
      <c r="J45" s="378"/>
      <c r="K45" s="532">
        <f t="shared" si="8"/>
        <v>0</v>
      </c>
      <c r="L45" s="380"/>
      <c r="M45" s="257"/>
      <c r="N45" s="423"/>
      <c r="O45" s="412"/>
      <c r="P45" s="413"/>
      <c r="Q45" s="385"/>
      <c r="S45" s="558"/>
      <c r="T45" s="559"/>
      <c r="U45" s="559"/>
      <c r="V45" s="559"/>
      <c r="W45" s="568" t="s">
        <v>793</v>
      </c>
      <c r="X45" s="568"/>
      <c r="Y45" s="569">
        <f>Y31+Y32+Y34</f>
        <v>0</v>
      </c>
      <c r="Z45" s="561"/>
    </row>
    <row r="46" spans="1:26" ht="16.5" thickTop="1" x14ac:dyDescent="0.25">
      <c r="A46" s="389"/>
      <c r="B46" s="414"/>
      <c r="C46" s="390"/>
      <c r="E46" s="255"/>
      <c r="F46" s="375"/>
      <c r="G46" s="531"/>
      <c r="H46" s="377"/>
      <c r="I46" s="375"/>
      <c r="J46" s="391" t="s">
        <v>30</v>
      </c>
      <c r="K46" s="534">
        <f>SUM(K40:K45)</f>
        <v>0</v>
      </c>
      <c r="L46" s="380"/>
      <c r="M46" s="257"/>
      <c r="N46" s="382"/>
      <c r="O46" s="383"/>
      <c r="P46" s="384"/>
      <c r="Q46" s="385"/>
      <c r="S46" s="558"/>
      <c r="T46" s="559"/>
      <c r="U46" s="559"/>
      <c r="V46" s="559"/>
      <c r="W46" s="568" t="s">
        <v>794</v>
      </c>
      <c r="X46" s="568"/>
      <c r="Y46" s="569">
        <f>Y35+Y36</f>
        <v>0</v>
      </c>
      <c r="Z46" s="561"/>
    </row>
    <row r="47" spans="1:26" ht="16.5" thickBot="1" x14ac:dyDescent="0.3">
      <c r="A47" s="355" t="s">
        <v>0</v>
      </c>
      <c r="B47" s="356" t="s">
        <v>1</v>
      </c>
      <c r="C47" s="948" t="s">
        <v>656</v>
      </c>
      <c r="D47" s="948"/>
      <c r="E47" s="948"/>
      <c r="F47" s="948"/>
      <c r="G47" s="948" t="s">
        <v>34</v>
      </c>
      <c r="H47" s="948"/>
      <c r="I47" s="948"/>
      <c r="J47" s="357"/>
      <c r="K47" s="525"/>
      <c r="L47" s="393"/>
      <c r="M47" s="357"/>
      <c r="N47" s="395"/>
      <c r="O47" s="383"/>
      <c r="P47" s="384"/>
      <c r="Q47" s="385"/>
      <c r="S47" s="571"/>
      <c r="T47" s="572"/>
      <c r="U47" s="572"/>
      <c r="V47" s="572"/>
      <c r="W47" s="573" t="s">
        <v>832</v>
      </c>
      <c r="X47" s="572"/>
      <c r="Y47" s="574">
        <f>Y41</f>
        <v>0</v>
      </c>
      <c r="Z47" s="575"/>
    </row>
    <row r="48" spans="1:26" ht="16.5" thickBot="1" x14ac:dyDescent="0.3">
      <c r="A48" s="527" t="s">
        <v>164</v>
      </c>
      <c r="B48" s="527" t="s">
        <v>168</v>
      </c>
      <c r="C48" s="398" t="s">
        <v>19</v>
      </c>
      <c r="D48" s="399" t="s">
        <v>33</v>
      </c>
      <c r="E48" s="400" t="s">
        <v>35</v>
      </c>
      <c r="F48" s="401" t="s">
        <v>30</v>
      </c>
      <c r="G48" s="535" t="s">
        <v>14</v>
      </c>
      <c r="H48" s="400" t="s">
        <v>35</v>
      </c>
      <c r="I48" s="401" t="s">
        <v>30</v>
      </c>
      <c r="J48" s="366" t="s">
        <v>659</v>
      </c>
      <c r="K48" s="536" t="s">
        <v>38</v>
      </c>
      <c r="L48" s="404"/>
      <c r="M48" s="410"/>
      <c r="N48" s="406"/>
      <c r="O48" s="383"/>
      <c r="P48" s="413"/>
      <c r="Q48" s="385"/>
    </row>
    <row r="49" spans="1:17" x14ac:dyDescent="0.2">
      <c r="A49" s="407"/>
      <c r="B49" s="408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380"/>
      <c r="M49" s="257"/>
      <c r="N49" s="382"/>
      <c r="O49" s="383"/>
      <c r="P49" s="384"/>
      <c r="Q49" s="385"/>
    </row>
    <row r="50" spans="1:17" x14ac:dyDescent="0.2">
      <c r="A50" s="372"/>
      <c r="B50" s="5" t="s">
        <v>875</v>
      </c>
      <c r="C50" s="570">
        <f>U38</f>
        <v>0</v>
      </c>
      <c r="D50" s="374" t="s">
        <v>753</v>
      </c>
      <c r="E50" s="255">
        <v>1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382"/>
      <c r="O50" s="383"/>
      <c r="P50" s="384"/>
      <c r="Q50" s="385"/>
    </row>
    <row r="51" spans="1:17" x14ac:dyDescent="0.2">
      <c r="A51" s="372"/>
      <c r="B51" s="5" t="s">
        <v>876</v>
      </c>
      <c r="C51" s="373">
        <f>U39</f>
        <v>0</v>
      </c>
      <c r="D51" s="374" t="s">
        <v>753</v>
      </c>
      <c r="E51" s="255">
        <v>1</v>
      </c>
      <c r="F51" s="375">
        <f>C51*E51</f>
        <v>0</v>
      </c>
      <c r="G51" s="531"/>
      <c r="H51" s="377">
        <v>0</v>
      </c>
      <c r="I51" s="375">
        <f>G51*H51</f>
        <v>0</v>
      </c>
      <c r="J51" s="378"/>
      <c r="K51" s="532">
        <f>F51+I51+J51</f>
        <v>0</v>
      </c>
      <c r="L51" s="380"/>
      <c r="M51" s="257"/>
      <c r="N51" s="382"/>
      <c r="O51" s="383"/>
      <c r="P51" s="384"/>
      <c r="Q51" s="385"/>
    </row>
    <row r="52" spans="1:17" x14ac:dyDescent="0.2">
      <c r="A52" s="372"/>
      <c r="B52" s="5"/>
      <c r="C52" s="373"/>
      <c r="D52" s="374" t="s">
        <v>21</v>
      </c>
      <c r="E52" s="255">
        <v>0</v>
      </c>
      <c r="F52" s="375">
        <f>C52*E52</f>
        <v>0</v>
      </c>
      <c r="G52" s="531"/>
      <c r="H52" s="377">
        <v>0</v>
      </c>
      <c r="I52" s="375">
        <f>G52*H52</f>
        <v>0</v>
      </c>
      <c r="J52" s="378"/>
      <c r="K52" s="532">
        <f>F52+I52+J52</f>
        <v>0</v>
      </c>
      <c r="L52" s="380"/>
      <c r="M52" s="257"/>
      <c r="N52" s="382"/>
      <c r="O52" s="383"/>
      <c r="P52" s="384"/>
      <c r="Q52" s="385"/>
    </row>
    <row r="53" spans="1:17" x14ac:dyDescent="0.2">
      <c r="A53" s="372"/>
      <c r="B53" s="5"/>
      <c r="C53" s="373"/>
      <c r="D53" s="374" t="s">
        <v>21</v>
      </c>
      <c r="E53" s="255">
        <v>0</v>
      </c>
      <c r="F53" s="375">
        <f>C53*E53</f>
        <v>0</v>
      </c>
      <c r="G53" s="531"/>
      <c r="H53" s="377">
        <v>0</v>
      </c>
      <c r="I53" s="375">
        <f>G53*H53</f>
        <v>0</v>
      </c>
      <c r="J53" s="378"/>
      <c r="K53" s="532">
        <f>F53+I53+J53</f>
        <v>0</v>
      </c>
      <c r="L53" s="380"/>
      <c r="M53" s="257"/>
      <c r="N53" s="382"/>
      <c r="O53" s="383"/>
      <c r="P53" s="384"/>
      <c r="Q53" s="385"/>
    </row>
    <row r="54" spans="1:17" ht="13.5" thickBot="1" x14ac:dyDescent="0.25">
      <c r="A54" s="389"/>
      <c r="B54" s="414"/>
      <c r="C54" s="390"/>
      <c r="E54" s="255"/>
      <c r="F54" s="375"/>
      <c r="G54" s="531"/>
      <c r="H54" s="377"/>
      <c r="I54" s="375"/>
      <c r="J54" s="378"/>
      <c r="K54" s="537"/>
      <c r="L54" s="380"/>
      <c r="M54" s="257"/>
      <c r="N54" s="382"/>
      <c r="O54" s="383"/>
      <c r="P54" s="384"/>
      <c r="Q54" s="385"/>
    </row>
    <row r="55" spans="1:17" ht="13.5" thickTop="1" x14ac:dyDescent="0.2">
      <c r="A55" s="389"/>
      <c r="B55" s="414"/>
      <c r="C55" s="390"/>
      <c r="E55" s="255"/>
      <c r="F55" s="375"/>
      <c r="G55" s="531"/>
      <c r="H55" s="377"/>
      <c r="I55" s="375"/>
      <c r="J55" s="391" t="s">
        <v>30</v>
      </c>
      <c r="K55" s="534">
        <f>SUM(K49:K54)</f>
        <v>0</v>
      </c>
      <c r="L55" s="380"/>
      <c r="M55" s="257"/>
      <c r="N55" s="423"/>
      <c r="O55" s="438"/>
      <c r="P55" s="439"/>
      <c r="Q55" s="385"/>
    </row>
    <row r="56" spans="1:17" ht="13.5" thickBot="1" x14ac:dyDescent="0.25">
      <c r="A56" s="355" t="s">
        <v>0</v>
      </c>
      <c r="B56" s="356" t="s">
        <v>1</v>
      </c>
      <c r="C56" s="948" t="s">
        <v>656</v>
      </c>
      <c r="D56" s="948"/>
      <c r="E56" s="948"/>
      <c r="F56" s="948"/>
      <c r="G56" s="948" t="s">
        <v>34</v>
      </c>
      <c r="H56" s="948"/>
      <c r="I56" s="948"/>
      <c r="J56" s="357"/>
      <c r="K56" s="525"/>
      <c r="L56" s="393"/>
      <c r="M56" s="357"/>
      <c r="N56" s="440"/>
      <c r="O56" s="438"/>
      <c r="P56" s="439"/>
      <c r="Q56" s="385"/>
    </row>
    <row r="57" spans="1:17" ht="16.5" thickBot="1" x14ac:dyDescent="0.3">
      <c r="A57" s="527" t="s">
        <v>165</v>
      </c>
      <c r="B57" s="527" t="s">
        <v>169</v>
      </c>
      <c r="C57" s="398" t="s">
        <v>19</v>
      </c>
      <c r="D57" s="399" t="s">
        <v>33</v>
      </c>
      <c r="E57" s="400" t="s">
        <v>35</v>
      </c>
      <c r="F57" s="401" t="s">
        <v>30</v>
      </c>
      <c r="G57" s="535" t="s">
        <v>14</v>
      </c>
      <c r="H57" s="400" t="s">
        <v>35</v>
      </c>
      <c r="I57" s="401" t="s">
        <v>30</v>
      </c>
      <c r="J57" s="366" t="s">
        <v>659</v>
      </c>
      <c r="K57" s="536" t="s">
        <v>38</v>
      </c>
      <c r="L57" s="404"/>
      <c r="M57" s="410"/>
      <c r="N57" s="411"/>
      <c r="O57" s="412"/>
      <c r="P57" s="413"/>
      <c r="Q57" s="385"/>
    </row>
    <row r="58" spans="1:17" x14ac:dyDescent="0.2">
      <c r="A58" s="407"/>
      <c r="B58" s="408"/>
      <c r="C58" s="373"/>
      <c r="D58" s="374" t="s">
        <v>21</v>
      </c>
      <c r="E58" s="255">
        <v>0</v>
      </c>
      <c r="F58" s="375">
        <f t="shared" ref="F58:F64" si="9">C58*E58</f>
        <v>0</v>
      </c>
      <c r="G58" s="531"/>
      <c r="H58" s="377">
        <v>0</v>
      </c>
      <c r="I58" s="375">
        <f t="shared" ref="I58:I64" si="10">G58*H58</f>
        <v>0</v>
      </c>
      <c r="J58" s="378"/>
      <c r="K58" s="532">
        <f t="shared" ref="K58:K64" si="11">F58+I58+J58</f>
        <v>0</v>
      </c>
      <c r="L58" s="380"/>
      <c r="M58" s="257"/>
      <c r="N58" s="382"/>
      <c r="O58" s="383"/>
      <c r="P58" s="384"/>
      <c r="Q58" s="385"/>
    </row>
    <row r="59" spans="1:17" x14ac:dyDescent="0.2">
      <c r="A59" s="372"/>
      <c r="B59" s="5"/>
      <c r="C59" s="373"/>
      <c r="D59" s="374" t="s">
        <v>21</v>
      </c>
      <c r="E59" s="255">
        <v>0</v>
      </c>
      <c r="F59" s="375">
        <f t="shared" si="9"/>
        <v>0</v>
      </c>
      <c r="G59" s="531"/>
      <c r="H59" s="377">
        <v>0</v>
      </c>
      <c r="I59" s="375">
        <f t="shared" si="10"/>
        <v>0</v>
      </c>
      <c r="J59" s="378"/>
      <c r="K59" s="532">
        <f t="shared" si="11"/>
        <v>0</v>
      </c>
      <c r="L59" s="380"/>
      <c r="M59" s="381"/>
      <c r="N59" s="382"/>
      <c r="O59" s="383"/>
      <c r="P59" s="384"/>
      <c r="Q59" s="385"/>
    </row>
    <row r="60" spans="1:17" x14ac:dyDescent="0.2">
      <c r="A60" s="372"/>
      <c r="B60" s="5"/>
      <c r="C60" s="373"/>
      <c r="D60" s="374" t="s">
        <v>21</v>
      </c>
      <c r="E60" s="255">
        <v>0</v>
      </c>
      <c r="F60" s="375">
        <f t="shared" si="9"/>
        <v>0</v>
      </c>
      <c r="G60" s="531"/>
      <c r="H60" s="377">
        <v>0</v>
      </c>
      <c r="I60" s="375">
        <f t="shared" si="10"/>
        <v>0</v>
      </c>
      <c r="J60" s="378"/>
      <c r="K60" s="532">
        <f t="shared" si="11"/>
        <v>0</v>
      </c>
      <c r="L60" s="380"/>
      <c r="M60" s="381"/>
      <c r="N60" s="382"/>
      <c r="O60" s="383"/>
      <c r="P60" s="384"/>
      <c r="Q60" s="385"/>
    </row>
    <row r="61" spans="1:17" x14ac:dyDescent="0.2">
      <c r="A61" s="372"/>
      <c r="B61" s="5"/>
      <c r="C61" s="373"/>
      <c r="D61" s="374" t="s">
        <v>21</v>
      </c>
      <c r="E61" s="255">
        <v>0</v>
      </c>
      <c r="F61" s="375">
        <f t="shared" si="9"/>
        <v>0</v>
      </c>
      <c r="G61" s="531"/>
      <c r="H61" s="377">
        <v>0</v>
      </c>
      <c r="I61" s="375">
        <f t="shared" si="10"/>
        <v>0</v>
      </c>
      <c r="J61" s="378"/>
      <c r="K61" s="532">
        <f t="shared" si="11"/>
        <v>0</v>
      </c>
      <c r="L61" s="380"/>
      <c r="M61" s="381"/>
      <c r="N61" s="382"/>
      <c r="O61" s="383"/>
      <c r="P61" s="384"/>
      <c r="Q61" s="385"/>
    </row>
    <row r="62" spans="1:17" x14ac:dyDescent="0.2">
      <c r="A62" s="372"/>
      <c r="B62" s="5"/>
      <c r="C62" s="373"/>
      <c r="D62" s="374" t="s">
        <v>21</v>
      </c>
      <c r="E62" s="255">
        <v>0</v>
      </c>
      <c r="F62" s="375">
        <f t="shared" si="9"/>
        <v>0</v>
      </c>
      <c r="G62" s="531"/>
      <c r="H62" s="377">
        <v>0</v>
      </c>
      <c r="I62" s="375">
        <f t="shared" si="10"/>
        <v>0</v>
      </c>
      <c r="J62" s="378"/>
      <c r="K62" s="532">
        <f t="shared" si="11"/>
        <v>0</v>
      </c>
      <c r="L62" s="380"/>
      <c r="M62" s="381"/>
      <c r="N62" s="382"/>
      <c r="O62" s="383"/>
      <c r="P62" s="384"/>
      <c r="Q62" s="385"/>
    </row>
    <row r="63" spans="1:17" x14ac:dyDescent="0.2">
      <c r="A63" s="372"/>
      <c r="B63" s="5"/>
      <c r="C63" s="373"/>
      <c r="D63" s="374" t="s">
        <v>21</v>
      </c>
      <c r="E63" s="255">
        <v>0</v>
      </c>
      <c r="F63" s="375">
        <f t="shared" si="9"/>
        <v>0</v>
      </c>
      <c r="G63" s="531"/>
      <c r="H63" s="377">
        <v>0</v>
      </c>
      <c r="I63" s="375">
        <f t="shared" si="10"/>
        <v>0</v>
      </c>
      <c r="J63" s="378"/>
      <c r="K63" s="532">
        <f t="shared" si="11"/>
        <v>0</v>
      </c>
      <c r="L63" s="380"/>
      <c r="M63" s="381"/>
      <c r="N63" s="382"/>
      <c r="O63" s="383"/>
      <c r="P63" s="384"/>
      <c r="Q63" s="385"/>
    </row>
    <row r="64" spans="1:17" x14ac:dyDescent="0.2">
      <c r="A64" s="372"/>
      <c r="B64" s="5"/>
      <c r="C64" s="373"/>
      <c r="D64" s="374" t="s">
        <v>21</v>
      </c>
      <c r="E64" s="255">
        <v>0</v>
      </c>
      <c r="F64" s="375">
        <f t="shared" si="9"/>
        <v>0</v>
      </c>
      <c r="G64" s="531"/>
      <c r="H64" s="377">
        <v>0</v>
      </c>
      <c r="I64" s="375">
        <f t="shared" si="10"/>
        <v>0</v>
      </c>
      <c r="J64" s="378"/>
      <c r="K64" s="532">
        <f t="shared" si="11"/>
        <v>0</v>
      </c>
      <c r="L64" s="380"/>
      <c r="M64" s="381"/>
      <c r="N64" s="382"/>
      <c r="O64" s="383"/>
      <c r="P64" s="384"/>
      <c r="Q64" s="385"/>
    </row>
    <row r="65" spans="1:17" ht="13.5" thickBot="1" x14ac:dyDescent="0.25">
      <c r="A65" s="389"/>
      <c r="B65" s="5"/>
      <c r="C65" s="390"/>
      <c r="E65" s="255"/>
      <c r="F65" s="375"/>
      <c r="G65" s="531"/>
      <c r="H65" s="377"/>
      <c r="I65" s="375"/>
      <c r="J65" s="378"/>
      <c r="K65" s="537"/>
      <c r="L65" s="380"/>
      <c r="M65" s="381"/>
      <c r="N65" s="382"/>
      <c r="O65" s="383"/>
      <c r="P65" s="384"/>
      <c r="Q65" s="385"/>
    </row>
    <row r="66" spans="1:17" ht="13.5" thickTop="1" x14ac:dyDescent="0.2">
      <c r="A66" s="389"/>
      <c r="B66" s="414"/>
      <c r="C66" s="390"/>
      <c r="E66" s="255"/>
      <c r="F66" s="375"/>
      <c r="G66" s="531"/>
      <c r="H66" s="377"/>
      <c r="I66" s="375"/>
      <c r="J66" s="391" t="s">
        <v>30</v>
      </c>
      <c r="K66" s="534">
        <f>SUM(K58:K65)</f>
        <v>0</v>
      </c>
      <c r="L66" s="380"/>
      <c r="M66" s="381"/>
      <c r="N66" s="382"/>
      <c r="O66" s="383"/>
      <c r="P66" s="384"/>
      <c r="Q66" s="385"/>
    </row>
    <row r="67" spans="1:17" ht="13.5" thickBot="1" x14ac:dyDescent="0.25">
      <c r="A67" s="355" t="s">
        <v>0</v>
      </c>
      <c r="B67" s="356" t="s">
        <v>1</v>
      </c>
      <c r="C67" s="948" t="s">
        <v>656</v>
      </c>
      <c r="D67" s="948"/>
      <c r="E67" s="948"/>
      <c r="F67" s="948"/>
      <c r="G67" s="948" t="s">
        <v>34</v>
      </c>
      <c r="H67" s="948"/>
      <c r="I67" s="948"/>
      <c r="J67" s="357"/>
      <c r="K67" s="525"/>
      <c r="L67" s="393"/>
      <c r="M67" s="394"/>
      <c r="N67" s="395"/>
      <c r="O67" s="383"/>
      <c r="P67" s="384"/>
      <c r="Q67" s="385"/>
    </row>
    <row r="68" spans="1:17" ht="15.75" x14ac:dyDescent="0.25">
      <c r="A68" s="527" t="s">
        <v>166</v>
      </c>
      <c r="B68" s="527" t="s">
        <v>921</v>
      </c>
      <c r="C68" s="398" t="s">
        <v>19</v>
      </c>
      <c r="D68" s="399" t="s">
        <v>33</v>
      </c>
      <c r="E68" s="400" t="s">
        <v>35</v>
      </c>
      <c r="F68" s="401" t="s">
        <v>30</v>
      </c>
      <c r="G68" s="535" t="s">
        <v>14</v>
      </c>
      <c r="H68" s="400" t="s">
        <v>35</v>
      </c>
      <c r="I68" s="401" t="s">
        <v>30</v>
      </c>
      <c r="J68" s="366" t="s">
        <v>659</v>
      </c>
      <c r="K68" s="536" t="s">
        <v>38</v>
      </c>
      <c r="L68" s="404"/>
      <c r="M68" s="405"/>
      <c r="N68" s="406"/>
      <c r="O68" s="383"/>
      <c r="P68" s="384"/>
      <c r="Q68" s="385"/>
    </row>
    <row r="69" spans="1:17" x14ac:dyDescent="0.2">
      <c r="A69" s="386" t="s">
        <v>922</v>
      </c>
      <c r="B69" s="5" t="s">
        <v>752</v>
      </c>
      <c r="C69" s="373"/>
      <c r="D69" s="374" t="s">
        <v>878</v>
      </c>
      <c r="E69" s="255">
        <v>18.95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L69" s="380"/>
      <c r="M69" s="381"/>
      <c r="N69" s="382"/>
      <c r="O69" s="383"/>
      <c r="P69" s="384"/>
      <c r="Q69" s="385"/>
    </row>
    <row r="70" spans="1:17" x14ac:dyDescent="0.2">
      <c r="A70" s="386" t="s">
        <v>923</v>
      </c>
      <c r="B70" s="5" t="s">
        <v>55</v>
      </c>
      <c r="C70" s="373"/>
      <c r="D70" s="374" t="s">
        <v>877</v>
      </c>
      <c r="E70" s="255">
        <v>100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L70" s="380"/>
      <c r="M70" s="381"/>
      <c r="N70" s="382"/>
      <c r="O70" s="383"/>
      <c r="P70" s="384"/>
      <c r="Q70" s="385"/>
    </row>
    <row r="71" spans="1:17" x14ac:dyDescent="0.2">
      <c r="A71" s="372"/>
      <c r="B71" s="5"/>
      <c r="C71" s="373"/>
      <c r="D71" s="374" t="s">
        <v>21</v>
      </c>
      <c r="E71" s="255">
        <v>0</v>
      </c>
      <c r="F71" s="375">
        <f>C71*E71</f>
        <v>0</v>
      </c>
      <c r="G71" s="531"/>
      <c r="H71" s="377">
        <v>0</v>
      </c>
      <c r="I71" s="375">
        <f>G71*H71</f>
        <v>0</v>
      </c>
      <c r="J71" s="378"/>
      <c r="K71" s="532">
        <f>F71+I71+J71</f>
        <v>0</v>
      </c>
      <c r="L71" s="380"/>
      <c r="M71" s="381"/>
      <c r="N71" s="382"/>
      <c r="O71" s="383"/>
      <c r="P71" s="384"/>
      <c r="Q71" s="385"/>
    </row>
    <row r="72" spans="1:17" x14ac:dyDescent="0.2">
      <c r="A72" s="372"/>
      <c r="B72" s="5"/>
      <c r="C72" s="373"/>
      <c r="D72" s="374" t="s">
        <v>21</v>
      </c>
      <c r="E72" s="255">
        <v>0</v>
      </c>
      <c r="F72" s="375">
        <f>C72*E72</f>
        <v>0</v>
      </c>
      <c r="G72" s="531"/>
      <c r="H72" s="377">
        <v>0</v>
      </c>
      <c r="I72" s="375">
        <f>G72*H72</f>
        <v>0</v>
      </c>
      <c r="J72" s="378"/>
      <c r="K72" s="532">
        <f>F72+I72+J72</f>
        <v>0</v>
      </c>
      <c r="L72" s="380"/>
      <c r="M72" s="381"/>
      <c r="N72" s="382"/>
      <c r="O72" s="383"/>
      <c r="P72" s="384"/>
      <c r="Q72" s="385"/>
    </row>
    <row r="73" spans="1:17" x14ac:dyDescent="0.2">
      <c r="A73" s="372"/>
      <c r="B73" s="5"/>
      <c r="C73" s="373"/>
      <c r="D73" s="374" t="s">
        <v>21</v>
      </c>
      <c r="E73" s="255">
        <v>0</v>
      </c>
      <c r="F73" s="375">
        <f>C73*E73</f>
        <v>0</v>
      </c>
      <c r="G73" s="531"/>
      <c r="H73" s="377">
        <v>0</v>
      </c>
      <c r="I73" s="375">
        <f>G73*H73</f>
        <v>0</v>
      </c>
      <c r="J73" s="378"/>
      <c r="K73" s="532">
        <f>F73+I73+J73</f>
        <v>0</v>
      </c>
      <c r="L73" s="380"/>
      <c r="M73" s="381"/>
      <c r="N73" s="382"/>
      <c r="O73" s="383"/>
      <c r="P73" s="384"/>
      <c r="Q73" s="385"/>
    </row>
    <row r="74" spans="1:17" ht="13.5" thickBot="1" x14ac:dyDescent="0.25">
      <c r="A74" s="389"/>
      <c r="B74" s="5"/>
      <c r="C74" s="390"/>
      <c r="E74" s="255"/>
      <c r="F74" s="375"/>
      <c r="G74" s="531"/>
      <c r="H74" s="377"/>
      <c r="I74" s="375"/>
      <c r="J74" s="378"/>
      <c r="K74" s="537"/>
      <c r="L74" s="380"/>
      <c r="M74" s="381"/>
      <c r="N74" s="382"/>
      <c r="O74" s="383"/>
      <c r="P74" s="384"/>
      <c r="Q74" s="385"/>
    </row>
    <row r="75" spans="1:17" ht="14.25" thickTop="1" thickBot="1" x14ac:dyDescent="0.25">
      <c r="A75" s="389"/>
      <c r="B75" s="414"/>
      <c r="C75" s="390"/>
      <c r="E75" s="255"/>
      <c r="F75" s="375"/>
      <c r="G75" s="531"/>
      <c r="H75" s="377"/>
      <c r="I75" s="375"/>
      <c r="J75" s="391" t="s">
        <v>30</v>
      </c>
      <c r="K75" s="534">
        <f>SUM(K69:K74)</f>
        <v>0</v>
      </c>
      <c r="L75" s="538"/>
      <c r="M75" s="576"/>
      <c r="N75" s="539"/>
      <c r="O75" s="542"/>
      <c r="P75" s="543"/>
      <c r="Q75" s="385"/>
    </row>
    <row r="76" spans="1:17" ht="14.1" customHeight="1" thickTop="1" x14ac:dyDescent="0.25">
      <c r="A76" s="480"/>
      <c r="B76" s="481"/>
      <c r="C76" s="482"/>
      <c r="D76" s="482"/>
      <c r="E76" s="483"/>
      <c r="F76" s="978" t="s">
        <v>658</v>
      </c>
      <c r="G76" s="1001" t="s">
        <v>682</v>
      </c>
      <c r="H76" s="483"/>
      <c r="I76" s="971" t="s">
        <v>657</v>
      </c>
      <c r="J76" s="967" t="s">
        <v>683</v>
      </c>
      <c r="K76" s="965" t="s">
        <v>31</v>
      </c>
      <c r="L76" s="544"/>
      <c r="M76" s="577"/>
      <c r="N76" s="546"/>
      <c r="O76" s="578"/>
      <c r="P76" s="578"/>
      <c r="Q76" s="546"/>
    </row>
    <row r="77" spans="1:17" ht="15" x14ac:dyDescent="0.2">
      <c r="A77" s="484" t="s">
        <v>32</v>
      </c>
      <c r="B77" s="973" t="s">
        <v>24</v>
      </c>
      <c r="C77" s="485"/>
      <c r="D77" s="486"/>
      <c r="E77" s="486"/>
      <c r="F77" s="979"/>
      <c r="G77" s="1002"/>
      <c r="H77" s="487"/>
      <c r="I77" s="972"/>
      <c r="J77" s="968"/>
      <c r="K77" s="966"/>
    </row>
    <row r="78" spans="1:17" ht="15" x14ac:dyDescent="0.25">
      <c r="A78" s="827">
        <f>K78/E6</f>
        <v>0</v>
      </c>
      <c r="B78" s="973"/>
      <c r="C78" s="486"/>
      <c r="D78" s="486"/>
      <c r="E78" s="486"/>
      <c r="F78" s="969">
        <f>SUM(F69:F74,F58:F65,F49:F54,F40:F45,F29:F36,F13:F25)</f>
        <v>0</v>
      </c>
      <c r="G78" s="1015">
        <f>SUM(G69:G74,G58:G65,G49:G54,G40:G45,G29:G36,G13:G24)</f>
        <v>0</v>
      </c>
      <c r="H78" s="487"/>
      <c r="I78" s="969">
        <f>SUM(I69:I74,I58:I65,I49:I54,I40:I45,I29:I36,I13:I25)</f>
        <v>0</v>
      </c>
      <c r="J78" s="961">
        <f>SUM(J69:J74,J58:J64,J49:J54,J40:J45,J29:J36,J13:J25)</f>
        <v>0</v>
      </c>
      <c r="K78" s="963">
        <f>SUM(K75,K66,K55,K46,K37,K26)</f>
        <v>0</v>
      </c>
    </row>
    <row r="79" spans="1:17" ht="15" thickBot="1" x14ac:dyDescent="0.25">
      <c r="A79" s="484"/>
      <c r="B79" s="552"/>
      <c r="C79" s="490"/>
      <c r="D79" s="490"/>
      <c r="E79" s="490"/>
      <c r="F79" s="970"/>
      <c r="G79" s="1016"/>
      <c r="H79" s="490"/>
      <c r="I79" s="970"/>
      <c r="J79" s="962"/>
      <c r="K79" s="964"/>
    </row>
    <row r="80" spans="1:17" ht="13.5" thickBot="1" x14ac:dyDescent="0.25">
      <c r="A80" s="491"/>
      <c r="B80" s="492"/>
      <c r="C80" s="492"/>
      <c r="D80" s="492"/>
      <c r="E80" s="492"/>
      <c r="F80" s="492"/>
      <c r="G80" s="492"/>
      <c r="H80" s="492"/>
      <c r="I80" s="492"/>
      <c r="J80" s="492"/>
      <c r="K80" s="493"/>
    </row>
  </sheetData>
  <mergeCells count="58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27:F27"/>
    <mergeCell ref="G27:I27"/>
    <mergeCell ref="C38:F38"/>
    <mergeCell ref="G38:I38"/>
    <mergeCell ref="C47:F47"/>
    <mergeCell ref="G47:I47"/>
    <mergeCell ref="B77:B78"/>
    <mergeCell ref="C56:F56"/>
    <mergeCell ref="G56:I56"/>
    <mergeCell ref="C67:F67"/>
    <mergeCell ref="G67:I67"/>
    <mergeCell ref="J76:J77"/>
    <mergeCell ref="K76:K77"/>
    <mergeCell ref="F78:F79"/>
    <mergeCell ref="G78:G79"/>
    <mergeCell ref="I78:I79"/>
    <mergeCell ref="J78:J79"/>
    <mergeCell ref="K78:K79"/>
    <mergeCell ref="F76:F77"/>
    <mergeCell ref="G76:G77"/>
    <mergeCell ref="I76:I77"/>
    <mergeCell ref="U29:V29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Q98"/>
  <sheetViews>
    <sheetView topLeftCell="A10" zoomScale="90" zoomScaleNormal="75" zoomScaleSheetLayoutView="90" zoomScalePageLayoutView="75" workbookViewId="0">
      <selection activeCell="I30" sqref="I30"/>
    </sheetView>
  </sheetViews>
  <sheetFormatPr defaultColWidth="9.140625" defaultRowHeight="12.75" x14ac:dyDescent="0.2"/>
  <cols>
    <col min="1" max="1" width="12.140625" style="157" bestFit="1" customWidth="1"/>
    <col min="2" max="2" width="44" style="157" customWidth="1"/>
    <col min="3" max="4" width="4.85546875" style="442" customWidth="1"/>
    <col min="5" max="5" width="11" style="157" customWidth="1"/>
    <col min="6" max="6" width="12.42578125" style="157" customWidth="1"/>
    <col min="7" max="7" width="6.85546875" style="157" customWidth="1"/>
    <col min="8" max="8" width="11" style="157" customWidth="1"/>
    <col min="9" max="9" width="12.42578125" style="157" customWidth="1"/>
    <col min="10" max="10" width="15.5703125" style="157" customWidth="1"/>
    <col min="11" max="11" width="14" style="157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5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09"/>
      <c r="D9" s="1009"/>
      <c r="E9" s="1005"/>
      <c r="F9" s="1005"/>
      <c r="G9" s="1010"/>
      <c r="H9" s="1005"/>
      <c r="I9" s="1005"/>
      <c r="J9" s="1005"/>
      <c r="K9" s="1008"/>
      <c r="L9" s="470"/>
      <c r="M9" s="469"/>
      <c r="N9" s="415"/>
      <c r="O9" s="416"/>
      <c r="P9" s="416"/>
    </row>
    <row r="10" spans="1:17" ht="13.5" thickBot="1" x14ac:dyDescent="0.25">
      <c r="A10" s="403"/>
      <c r="B10" s="524"/>
      <c r="C10" s="1009"/>
      <c r="D10" s="1009"/>
      <c r="E10" s="1005"/>
      <c r="F10" s="1005"/>
      <c r="G10" s="1010"/>
      <c r="H10" s="1005"/>
      <c r="I10" s="1005"/>
      <c r="J10" s="1005"/>
      <c r="K10" s="1008"/>
      <c r="L10" s="470"/>
      <c r="M10" s="469"/>
      <c r="N10" s="415"/>
      <c r="O10" s="416"/>
      <c r="P10" s="416"/>
    </row>
    <row r="11" spans="1:17" ht="14.25" thickTop="1" thickBot="1" x14ac:dyDescent="0.25">
      <c r="A11" s="355" t="s">
        <v>0</v>
      </c>
      <c r="B11" s="356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357"/>
      <c r="K11" s="525"/>
      <c r="L11" s="951" t="s">
        <v>780</v>
      </c>
      <c r="M11" s="953" t="s">
        <v>781</v>
      </c>
      <c r="N11" s="955" t="s">
        <v>782</v>
      </c>
      <c r="O11" s="957"/>
      <c r="P11" s="959"/>
      <c r="Q11" s="949"/>
    </row>
    <row r="12" spans="1:17" ht="15.75" x14ac:dyDescent="0.25">
      <c r="A12" s="527" t="s">
        <v>172</v>
      </c>
      <c r="B12" s="527" t="s">
        <v>174</v>
      </c>
      <c r="C12" s="361" t="s">
        <v>19</v>
      </c>
      <c r="D12" s="362" t="s">
        <v>33</v>
      </c>
      <c r="E12" s="363" t="s">
        <v>35</v>
      </c>
      <c r="F12" s="364" t="s">
        <v>30</v>
      </c>
      <c r="G12" s="528" t="s">
        <v>14</v>
      </c>
      <c r="H12" s="363" t="s">
        <v>35</v>
      </c>
      <c r="I12" s="364" t="s">
        <v>30</v>
      </c>
      <c r="J12" s="366" t="s">
        <v>659</v>
      </c>
      <c r="K12" s="529" t="s">
        <v>38</v>
      </c>
      <c r="L12" s="952"/>
      <c r="M12" s="954"/>
      <c r="N12" s="956"/>
      <c r="O12" s="958"/>
      <c r="P12" s="960"/>
      <c r="Q12" s="950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ref="F13:F24" si="0">C13*E13</f>
        <v>0</v>
      </c>
      <c r="G13" s="531"/>
      <c r="H13" s="377">
        <v>0</v>
      </c>
      <c r="I13" s="375">
        <f t="shared" ref="I13:I24" si="1">G13*H13</f>
        <v>0</v>
      </c>
      <c r="J13" s="378"/>
      <c r="K13" s="532">
        <f t="shared" ref="K13:K24" si="2">F13+I13+J13</f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5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72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72"/>
      <c r="B17" s="6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380"/>
      <c r="M17" s="381"/>
      <c r="N17" s="382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380"/>
      <c r="M18" s="381"/>
      <c r="N18" s="382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380"/>
      <c r="M19" s="381"/>
      <c r="N19" s="382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380"/>
      <c r="M20" s="381"/>
      <c r="N20" s="382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380"/>
      <c r="M21" s="381"/>
      <c r="N21" s="382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380"/>
      <c r="M22" s="381"/>
      <c r="N22" s="382"/>
      <c r="O22" s="383"/>
      <c r="P22" s="384"/>
      <c r="Q22" s="385"/>
    </row>
    <row r="23" spans="1:17" x14ac:dyDescent="0.2">
      <c r="A23" s="386"/>
      <c r="B23" s="5"/>
      <c r="C23" s="373"/>
      <c r="D23" s="374" t="s">
        <v>21</v>
      </c>
      <c r="E23" s="255">
        <v>0</v>
      </c>
      <c r="F23" s="375">
        <f t="shared" si="0"/>
        <v>0</v>
      </c>
      <c r="G23" s="531"/>
      <c r="H23" s="377">
        <v>0</v>
      </c>
      <c r="I23" s="375">
        <f t="shared" si="1"/>
        <v>0</v>
      </c>
      <c r="J23" s="378"/>
      <c r="K23" s="532">
        <f t="shared" si="2"/>
        <v>0</v>
      </c>
      <c r="L23" s="380"/>
      <c r="M23" s="381"/>
      <c r="N23" s="382"/>
      <c r="O23" s="383"/>
      <c r="P23" s="384"/>
      <c r="Q23" s="385"/>
    </row>
    <row r="24" spans="1:17" x14ac:dyDescent="0.2">
      <c r="A24" s="386"/>
      <c r="B24" s="5"/>
      <c r="C24" s="373"/>
      <c r="D24" s="374" t="s">
        <v>21</v>
      </c>
      <c r="E24" s="255">
        <v>0</v>
      </c>
      <c r="F24" s="375">
        <f t="shared" si="0"/>
        <v>0</v>
      </c>
      <c r="G24" s="531"/>
      <c r="H24" s="377">
        <v>0</v>
      </c>
      <c r="I24" s="375">
        <f t="shared" si="1"/>
        <v>0</v>
      </c>
      <c r="J24" s="378"/>
      <c r="K24" s="532">
        <f t="shared" si="2"/>
        <v>0</v>
      </c>
      <c r="L24" s="380"/>
      <c r="M24" s="381"/>
      <c r="N24" s="382"/>
      <c r="O24" s="383"/>
      <c r="P24" s="384"/>
      <c r="Q24" s="385"/>
    </row>
    <row r="25" spans="1:17" ht="13.5" thickBot="1" x14ac:dyDescent="0.25">
      <c r="A25" s="389"/>
      <c r="B25" s="7"/>
      <c r="C25" s="390"/>
      <c r="D25" s="374"/>
      <c r="E25" s="255"/>
      <c r="F25" s="375"/>
      <c r="G25" s="531"/>
      <c r="H25" s="377"/>
      <c r="I25" s="375"/>
      <c r="J25" s="378"/>
      <c r="K25" s="532"/>
      <c r="L25" s="380"/>
      <c r="M25" s="381"/>
      <c r="N25" s="382"/>
      <c r="O25" s="383"/>
      <c r="P25" s="384"/>
      <c r="Q25" s="385"/>
    </row>
    <row r="26" spans="1:17" ht="13.5" thickTop="1" x14ac:dyDescent="0.2">
      <c r="A26" s="389"/>
      <c r="B26" s="7"/>
      <c r="C26" s="390"/>
      <c r="D26" s="374"/>
      <c r="E26" s="255"/>
      <c r="F26" s="375"/>
      <c r="G26" s="531"/>
      <c r="H26" s="377"/>
      <c r="I26" s="375"/>
      <c r="J26" s="391" t="s">
        <v>30</v>
      </c>
      <c r="K26" s="534">
        <f>SUM(K13:K25)</f>
        <v>0</v>
      </c>
      <c r="L26" s="380"/>
      <c r="M26" s="381"/>
      <c r="N26" s="382"/>
      <c r="O26" s="383"/>
      <c r="P26" s="384"/>
      <c r="Q26" s="385"/>
    </row>
    <row r="27" spans="1:17" ht="13.5" thickBot="1" x14ac:dyDescent="0.25">
      <c r="A27" s="355" t="s">
        <v>0</v>
      </c>
      <c r="B27" s="356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357"/>
      <c r="K27" s="525"/>
      <c r="L27" s="393"/>
      <c r="M27" s="394"/>
      <c r="N27" s="395"/>
      <c r="O27" s="383"/>
      <c r="P27" s="384"/>
      <c r="Q27" s="385"/>
    </row>
    <row r="28" spans="1:17" ht="16.5" thickBot="1" x14ac:dyDescent="0.3">
      <c r="A28" s="527" t="s">
        <v>173</v>
      </c>
      <c r="B28" s="527" t="s">
        <v>175</v>
      </c>
      <c r="C28" s="398" t="s">
        <v>19</v>
      </c>
      <c r="D28" s="399" t="s">
        <v>33</v>
      </c>
      <c r="E28" s="400" t="s">
        <v>35</v>
      </c>
      <c r="F28" s="401" t="s">
        <v>30</v>
      </c>
      <c r="G28" s="535" t="s">
        <v>14</v>
      </c>
      <c r="H28" s="400" t="s">
        <v>35</v>
      </c>
      <c r="I28" s="401" t="s">
        <v>30</v>
      </c>
      <c r="J28" s="366" t="s">
        <v>659</v>
      </c>
      <c r="K28" s="536" t="s">
        <v>38</v>
      </c>
      <c r="L28" s="404"/>
      <c r="M28" s="405"/>
      <c r="N28" s="406"/>
      <c r="O28" s="383"/>
      <c r="P28" s="384"/>
      <c r="Q28" s="385"/>
    </row>
    <row r="29" spans="1:17" x14ac:dyDescent="0.2">
      <c r="A29" s="407"/>
      <c r="B29" s="408"/>
      <c r="C29" s="373"/>
      <c r="D29" s="374" t="s">
        <v>21</v>
      </c>
      <c r="E29" s="255">
        <v>0</v>
      </c>
      <c r="F29" s="375">
        <f t="shared" ref="F29:F35" si="3">C29*E29</f>
        <v>0</v>
      </c>
      <c r="G29" s="531"/>
      <c r="H29" s="377">
        <v>0</v>
      </c>
      <c r="I29" s="375">
        <f t="shared" ref="I29:I35" si="4">G29*H29</f>
        <v>0</v>
      </c>
      <c r="J29" s="378"/>
      <c r="K29" s="532">
        <f t="shared" ref="K29:K35" si="5">F29+I29+J29</f>
        <v>0</v>
      </c>
      <c r="L29" s="380"/>
      <c r="M29" s="381"/>
      <c r="N29" s="382"/>
      <c r="O29" s="383"/>
      <c r="P29" s="384"/>
      <c r="Q29" s="385"/>
    </row>
    <row r="30" spans="1:17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380"/>
      <c r="M31" s="381"/>
      <c r="N31" s="382"/>
      <c r="O31" s="383"/>
      <c r="P31" s="384"/>
      <c r="Q31" s="385"/>
    </row>
    <row r="32" spans="1:17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380"/>
      <c r="M32" s="381"/>
      <c r="N32" s="382"/>
      <c r="O32" s="383"/>
      <c r="P32" s="384"/>
      <c r="Q32" s="385"/>
    </row>
    <row r="33" spans="1:17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380"/>
      <c r="M33" s="381"/>
      <c r="N33" s="382"/>
      <c r="O33" s="383"/>
      <c r="P33" s="384"/>
      <c r="Q33" s="385"/>
    </row>
    <row r="34" spans="1:17" x14ac:dyDescent="0.2">
      <c r="A34" s="372"/>
      <c r="B34" s="5"/>
      <c r="C34" s="373"/>
      <c r="D34" s="374" t="s">
        <v>21</v>
      </c>
      <c r="E34" s="255">
        <v>0</v>
      </c>
      <c r="F34" s="375">
        <f t="shared" si="3"/>
        <v>0</v>
      </c>
      <c r="G34" s="531"/>
      <c r="H34" s="377">
        <v>0</v>
      </c>
      <c r="I34" s="375">
        <f t="shared" si="4"/>
        <v>0</v>
      </c>
      <c r="J34" s="378"/>
      <c r="K34" s="532">
        <f t="shared" si="5"/>
        <v>0</v>
      </c>
      <c r="L34" s="380"/>
      <c r="M34" s="381"/>
      <c r="N34" s="382"/>
      <c r="O34" s="383"/>
      <c r="P34" s="384"/>
      <c r="Q34" s="385"/>
    </row>
    <row r="35" spans="1:17" x14ac:dyDescent="0.2">
      <c r="A35" s="372"/>
      <c r="B35" s="5"/>
      <c r="C35" s="373"/>
      <c r="D35" s="374" t="s">
        <v>21</v>
      </c>
      <c r="E35" s="255">
        <v>0</v>
      </c>
      <c r="F35" s="375">
        <f t="shared" si="3"/>
        <v>0</v>
      </c>
      <c r="G35" s="531"/>
      <c r="H35" s="377">
        <v>0</v>
      </c>
      <c r="I35" s="375">
        <f t="shared" si="4"/>
        <v>0</v>
      </c>
      <c r="J35" s="378"/>
      <c r="K35" s="532">
        <f t="shared" si="5"/>
        <v>0</v>
      </c>
      <c r="L35" s="380"/>
      <c r="M35" s="381"/>
      <c r="N35" s="382"/>
      <c r="O35" s="383"/>
      <c r="P35" s="384"/>
      <c r="Q35" s="385"/>
    </row>
    <row r="36" spans="1:17" ht="13.5" thickBot="1" x14ac:dyDescent="0.25">
      <c r="A36" s="372"/>
      <c r="B36" s="5"/>
      <c r="C36" s="390"/>
      <c r="D36" s="374"/>
      <c r="E36" s="255"/>
      <c r="F36" s="375"/>
      <c r="G36" s="531"/>
      <c r="H36" s="377"/>
      <c r="I36" s="375"/>
      <c r="J36" s="378"/>
      <c r="K36" s="537"/>
      <c r="L36" s="380"/>
      <c r="M36" s="381"/>
      <c r="N36" s="382"/>
      <c r="O36" s="383"/>
      <c r="P36" s="384"/>
      <c r="Q36" s="385"/>
    </row>
    <row r="37" spans="1:17" ht="13.5" thickTop="1" x14ac:dyDescent="0.2">
      <c r="A37" s="389"/>
      <c r="B37" s="5"/>
      <c r="C37" s="390"/>
      <c r="D37" s="374"/>
      <c r="E37" s="255"/>
      <c r="F37" s="375"/>
      <c r="G37" s="531"/>
      <c r="H37" s="377"/>
      <c r="I37" s="375"/>
      <c r="J37" s="391" t="s">
        <v>30</v>
      </c>
      <c r="K37" s="534">
        <f>SUM(K29:K36)</f>
        <v>0</v>
      </c>
      <c r="L37" s="380"/>
      <c r="M37" s="381"/>
      <c r="N37" s="382"/>
      <c r="O37" s="383"/>
      <c r="P37" s="384"/>
      <c r="Q37" s="385"/>
    </row>
    <row r="38" spans="1:17" ht="13.5" thickBot="1" x14ac:dyDescent="0.25">
      <c r="A38" s="355" t="s">
        <v>0</v>
      </c>
      <c r="B38" s="356" t="s">
        <v>1</v>
      </c>
      <c r="C38" s="948" t="s">
        <v>656</v>
      </c>
      <c r="D38" s="948"/>
      <c r="E38" s="948"/>
      <c r="F38" s="948"/>
      <c r="G38" s="948" t="s">
        <v>34</v>
      </c>
      <c r="H38" s="948"/>
      <c r="I38" s="948"/>
      <c r="J38" s="357"/>
      <c r="K38" s="525"/>
      <c r="L38" s="393"/>
      <c r="M38" s="394"/>
      <c r="N38" s="395"/>
      <c r="O38" s="383"/>
      <c r="P38" s="384"/>
      <c r="Q38" s="385"/>
    </row>
    <row r="39" spans="1:17" ht="16.5" thickBot="1" x14ac:dyDescent="0.3">
      <c r="A39" s="396"/>
      <c r="B39" s="397"/>
      <c r="C39" s="398" t="s">
        <v>19</v>
      </c>
      <c r="D39" s="399" t="s">
        <v>33</v>
      </c>
      <c r="E39" s="400" t="s">
        <v>35</v>
      </c>
      <c r="F39" s="401" t="s">
        <v>30</v>
      </c>
      <c r="G39" s="535" t="s">
        <v>14</v>
      </c>
      <c r="H39" s="400" t="s">
        <v>35</v>
      </c>
      <c r="I39" s="401" t="s">
        <v>30</v>
      </c>
      <c r="J39" s="366" t="s">
        <v>659</v>
      </c>
      <c r="K39" s="536" t="s">
        <v>38</v>
      </c>
      <c r="L39" s="404"/>
      <c r="M39" s="410"/>
      <c r="N39" s="411"/>
      <c r="O39" s="412"/>
      <c r="P39" s="413"/>
      <c r="Q39" s="385"/>
    </row>
    <row r="40" spans="1:17" x14ac:dyDescent="0.2">
      <c r="A40" s="407"/>
      <c r="B40" s="408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257"/>
      <c r="N40" s="423"/>
      <c r="O40" s="412"/>
      <c r="P40" s="413"/>
      <c r="Q40" s="385"/>
    </row>
    <row r="41" spans="1:17" x14ac:dyDescent="0.2">
      <c r="A41" s="372"/>
      <c r="B41" s="5"/>
      <c r="C41" s="373"/>
      <c r="D41" s="374" t="s">
        <v>21</v>
      </c>
      <c r="E41" s="255">
        <v>0</v>
      </c>
      <c r="F41" s="375">
        <f>C41*E41</f>
        <v>0</v>
      </c>
      <c r="G41" s="531"/>
      <c r="H41" s="377">
        <v>0</v>
      </c>
      <c r="I41" s="375">
        <f>G41*H41</f>
        <v>0</v>
      </c>
      <c r="J41" s="378"/>
      <c r="K41" s="532">
        <f>F41+I41+J41</f>
        <v>0</v>
      </c>
      <c r="L41" s="380"/>
      <c r="M41" s="257"/>
      <c r="N41" s="423"/>
      <c r="O41" s="412"/>
      <c r="P41" s="413"/>
      <c r="Q41" s="385"/>
    </row>
    <row r="42" spans="1:17" x14ac:dyDescent="0.2">
      <c r="A42" s="372"/>
      <c r="B42" s="5"/>
      <c r="C42" s="373"/>
      <c r="D42" s="374" t="s">
        <v>21</v>
      </c>
      <c r="E42" s="255">
        <v>0</v>
      </c>
      <c r="F42" s="375">
        <f>C42*E42</f>
        <v>0</v>
      </c>
      <c r="G42" s="531"/>
      <c r="H42" s="377">
        <v>0</v>
      </c>
      <c r="I42" s="375">
        <f>G42*H42</f>
        <v>0</v>
      </c>
      <c r="J42" s="378"/>
      <c r="K42" s="532">
        <f>F42+I42+J42</f>
        <v>0</v>
      </c>
      <c r="L42" s="380"/>
      <c r="M42" s="257"/>
      <c r="N42" s="423"/>
      <c r="O42" s="412"/>
      <c r="P42" s="413"/>
      <c r="Q42" s="385"/>
    </row>
    <row r="43" spans="1:17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78"/>
      <c r="K43" s="537"/>
      <c r="L43" s="380"/>
      <c r="M43" s="257"/>
      <c r="N43" s="423"/>
      <c r="O43" s="412"/>
      <c r="P43" s="413"/>
      <c r="Q43" s="385"/>
    </row>
    <row r="44" spans="1:17" ht="13.5" thickBot="1" x14ac:dyDescent="0.25">
      <c r="A44" s="389"/>
      <c r="B44" s="414"/>
      <c r="C44" s="390"/>
      <c r="D44" s="374"/>
      <c r="E44" s="255"/>
      <c r="F44" s="375"/>
      <c r="G44" s="531"/>
      <c r="H44" s="377"/>
      <c r="I44" s="375"/>
      <c r="J44" s="378"/>
      <c r="K44" s="537"/>
      <c r="L44" s="380"/>
      <c r="M44" s="257"/>
      <c r="N44" s="423"/>
      <c r="O44" s="412"/>
      <c r="P44" s="413"/>
      <c r="Q44" s="385"/>
    </row>
    <row r="45" spans="1:17" ht="13.5" thickTop="1" x14ac:dyDescent="0.2">
      <c r="A45" s="389"/>
      <c r="B45" s="414"/>
      <c r="C45" s="390"/>
      <c r="D45" s="374"/>
      <c r="E45" s="255"/>
      <c r="F45" s="375"/>
      <c r="G45" s="531"/>
      <c r="H45" s="377"/>
      <c r="I45" s="375"/>
      <c r="J45" s="391" t="s">
        <v>30</v>
      </c>
      <c r="K45" s="534">
        <f>SUM(K40:K44)</f>
        <v>0</v>
      </c>
      <c r="L45" s="380"/>
      <c r="M45" s="257"/>
      <c r="N45" s="382"/>
      <c r="O45" s="383"/>
      <c r="P45" s="384"/>
      <c r="Q45" s="385"/>
    </row>
    <row r="46" spans="1:17" ht="13.5" thickBot="1" x14ac:dyDescent="0.25">
      <c r="A46" s="355" t="s">
        <v>0</v>
      </c>
      <c r="B46" s="356" t="s">
        <v>1</v>
      </c>
      <c r="C46" s="948" t="s">
        <v>656</v>
      </c>
      <c r="D46" s="948"/>
      <c r="E46" s="948"/>
      <c r="F46" s="948"/>
      <c r="G46" s="948" t="s">
        <v>34</v>
      </c>
      <c r="H46" s="948"/>
      <c r="I46" s="948"/>
      <c r="J46" s="357"/>
      <c r="K46" s="525"/>
      <c r="L46" s="393"/>
      <c r="M46" s="357"/>
      <c r="N46" s="395"/>
      <c r="O46" s="383"/>
      <c r="P46" s="384"/>
      <c r="Q46" s="385"/>
    </row>
    <row r="47" spans="1:17" ht="16.5" thickBot="1" x14ac:dyDescent="0.3">
      <c r="A47" s="396"/>
      <c r="B47" s="397"/>
      <c r="C47" s="398" t="s">
        <v>19</v>
      </c>
      <c r="D47" s="399" t="s">
        <v>33</v>
      </c>
      <c r="E47" s="400" t="s">
        <v>35</v>
      </c>
      <c r="F47" s="401" t="s">
        <v>30</v>
      </c>
      <c r="G47" s="535" t="s">
        <v>14</v>
      </c>
      <c r="H47" s="400" t="s">
        <v>35</v>
      </c>
      <c r="I47" s="401" t="s">
        <v>30</v>
      </c>
      <c r="J47" s="366" t="s">
        <v>659</v>
      </c>
      <c r="K47" s="536" t="s">
        <v>38</v>
      </c>
      <c r="L47" s="404"/>
      <c r="M47" s="410"/>
      <c r="N47" s="406"/>
      <c r="O47" s="383"/>
      <c r="P47" s="413"/>
      <c r="Q47" s="385"/>
    </row>
    <row r="48" spans="1:17" x14ac:dyDescent="0.2">
      <c r="A48" s="407"/>
      <c r="B48" s="408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380"/>
      <c r="M48" s="257"/>
      <c r="N48" s="382"/>
      <c r="O48" s="383"/>
      <c r="P48" s="384"/>
      <c r="Q48" s="385"/>
    </row>
    <row r="49" spans="1:17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380"/>
      <c r="M49" s="257"/>
      <c r="N49" s="382"/>
      <c r="O49" s="383"/>
      <c r="P49" s="384"/>
      <c r="Q49" s="385"/>
    </row>
    <row r="50" spans="1:17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382"/>
      <c r="O50" s="383"/>
      <c r="P50" s="384"/>
      <c r="Q50" s="385"/>
    </row>
    <row r="51" spans="1:17" x14ac:dyDescent="0.2">
      <c r="A51" s="372"/>
      <c r="B51" s="5"/>
      <c r="C51" s="373"/>
      <c r="D51" s="374" t="s">
        <v>21</v>
      </c>
      <c r="E51" s="255">
        <v>0</v>
      </c>
      <c r="F51" s="375">
        <f>C51*E51</f>
        <v>0</v>
      </c>
      <c r="G51" s="531"/>
      <c r="H51" s="377">
        <v>0</v>
      </c>
      <c r="I51" s="375">
        <f>G51*H51</f>
        <v>0</v>
      </c>
      <c r="J51" s="378"/>
      <c r="K51" s="532">
        <f>F51+I51+J51</f>
        <v>0</v>
      </c>
      <c r="L51" s="380"/>
      <c r="M51" s="257"/>
      <c r="N51" s="382"/>
      <c r="O51" s="383"/>
      <c r="P51" s="384"/>
      <c r="Q51" s="385"/>
    </row>
    <row r="52" spans="1:17" x14ac:dyDescent="0.2">
      <c r="A52" s="372"/>
      <c r="B52" s="5"/>
      <c r="C52" s="373"/>
      <c r="D52" s="374" t="s">
        <v>21</v>
      </c>
      <c r="E52" s="255">
        <v>0</v>
      </c>
      <c r="F52" s="375">
        <f>C52*E52</f>
        <v>0</v>
      </c>
      <c r="G52" s="531"/>
      <c r="H52" s="377">
        <v>0</v>
      </c>
      <c r="I52" s="375">
        <f>G52*H52</f>
        <v>0</v>
      </c>
      <c r="J52" s="378"/>
      <c r="K52" s="532">
        <f>F52+I52+J52</f>
        <v>0</v>
      </c>
      <c r="L52" s="380"/>
      <c r="M52" s="257"/>
      <c r="N52" s="382"/>
      <c r="O52" s="383"/>
      <c r="P52" s="384"/>
      <c r="Q52" s="385"/>
    </row>
    <row r="53" spans="1:17" ht="13.5" thickBot="1" x14ac:dyDescent="0.25">
      <c r="A53" s="389"/>
      <c r="B53" s="414"/>
      <c r="C53" s="390"/>
      <c r="D53" s="374"/>
      <c r="E53" s="255"/>
      <c r="F53" s="375"/>
      <c r="G53" s="531"/>
      <c r="H53" s="377"/>
      <c r="I53" s="375"/>
      <c r="J53" s="378"/>
      <c r="K53" s="537"/>
      <c r="L53" s="380"/>
      <c r="M53" s="257"/>
      <c r="N53" s="382"/>
      <c r="O53" s="383"/>
      <c r="P53" s="384"/>
      <c r="Q53" s="385"/>
    </row>
    <row r="54" spans="1:17" ht="13.5" thickTop="1" x14ac:dyDescent="0.2">
      <c r="A54" s="389"/>
      <c r="B54" s="414"/>
      <c r="C54" s="390"/>
      <c r="D54" s="374"/>
      <c r="E54" s="255"/>
      <c r="F54" s="375"/>
      <c r="G54" s="531"/>
      <c r="H54" s="377"/>
      <c r="I54" s="375"/>
      <c r="J54" s="391" t="s">
        <v>30</v>
      </c>
      <c r="K54" s="534">
        <f>SUM(K48:K53)</f>
        <v>0</v>
      </c>
      <c r="L54" s="380"/>
      <c r="M54" s="257"/>
      <c r="N54" s="423"/>
      <c r="O54" s="438"/>
      <c r="P54" s="439"/>
      <c r="Q54" s="385"/>
    </row>
    <row r="55" spans="1:17" ht="13.5" thickBot="1" x14ac:dyDescent="0.25">
      <c r="A55" s="355" t="s">
        <v>0</v>
      </c>
      <c r="B55" s="356" t="s">
        <v>1</v>
      </c>
      <c r="C55" s="948" t="s">
        <v>656</v>
      </c>
      <c r="D55" s="948"/>
      <c r="E55" s="948"/>
      <c r="F55" s="948"/>
      <c r="G55" s="948" t="s">
        <v>34</v>
      </c>
      <c r="H55" s="948"/>
      <c r="I55" s="948"/>
      <c r="J55" s="357"/>
      <c r="K55" s="525"/>
      <c r="L55" s="393"/>
      <c r="M55" s="357"/>
      <c r="N55" s="440"/>
      <c r="O55" s="438"/>
      <c r="P55" s="439"/>
      <c r="Q55" s="385"/>
    </row>
    <row r="56" spans="1:17" ht="16.5" thickBot="1" x14ac:dyDescent="0.3">
      <c r="A56" s="396"/>
      <c r="B56" s="397"/>
      <c r="C56" s="398" t="s">
        <v>19</v>
      </c>
      <c r="D56" s="399" t="s">
        <v>33</v>
      </c>
      <c r="E56" s="400" t="s">
        <v>35</v>
      </c>
      <c r="F56" s="401" t="s">
        <v>30</v>
      </c>
      <c r="G56" s="535" t="s">
        <v>14</v>
      </c>
      <c r="H56" s="400" t="s">
        <v>35</v>
      </c>
      <c r="I56" s="401" t="s">
        <v>30</v>
      </c>
      <c r="J56" s="366" t="s">
        <v>659</v>
      </c>
      <c r="K56" s="536" t="s">
        <v>38</v>
      </c>
      <c r="L56" s="404"/>
      <c r="M56" s="410"/>
      <c r="N56" s="411"/>
      <c r="O56" s="412"/>
      <c r="P56" s="413"/>
      <c r="Q56" s="385"/>
    </row>
    <row r="57" spans="1:17" x14ac:dyDescent="0.2">
      <c r="A57" s="407"/>
      <c r="B57" s="408"/>
      <c r="C57" s="373"/>
      <c r="D57" s="374" t="s">
        <v>21</v>
      </c>
      <c r="E57" s="255">
        <v>0</v>
      </c>
      <c r="F57" s="375">
        <f t="shared" ref="F57:F63" si="6">C57*E57</f>
        <v>0</v>
      </c>
      <c r="G57" s="531"/>
      <c r="H57" s="377">
        <v>0</v>
      </c>
      <c r="I57" s="375">
        <f t="shared" ref="I57:I63" si="7">G57*H57</f>
        <v>0</v>
      </c>
      <c r="J57" s="378"/>
      <c r="K57" s="532">
        <f t="shared" ref="K57:K63" si="8">F57+I57+J57</f>
        <v>0</v>
      </c>
      <c r="L57" s="380"/>
      <c r="M57" s="257"/>
      <c r="N57" s="382"/>
      <c r="O57" s="383"/>
      <c r="P57" s="384"/>
      <c r="Q57" s="385"/>
    </row>
    <row r="58" spans="1:17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381"/>
      <c r="N58" s="382"/>
      <c r="O58" s="383"/>
      <c r="P58" s="384"/>
      <c r="Q58" s="385"/>
    </row>
    <row r="59" spans="1:17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380"/>
      <c r="M59" s="381"/>
      <c r="N59" s="382"/>
      <c r="O59" s="383"/>
      <c r="P59" s="384"/>
      <c r="Q59" s="385"/>
    </row>
    <row r="60" spans="1:17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380"/>
      <c r="M60" s="381"/>
      <c r="N60" s="382"/>
      <c r="O60" s="383"/>
      <c r="P60" s="384"/>
      <c r="Q60" s="385"/>
    </row>
    <row r="61" spans="1:17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381"/>
      <c r="N61" s="382"/>
      <c r="O61" s="383"/>
      <c r="P61" s="384"/>
      <c r="Q61" s="385"/>
    </row>
    <row r="62" spans="1:17" x14ac:dyDescent="0.2">
      <c r="A62" s="372"/>
      <c r="B62" s="5"/>
      <c r="C62" s="373"/>
      <c r="D62" s="374" t="s">
        <v>21</v>
      </c>
      <c r="E62" s="255">
        <v>0</v>
      </c>
      <c r="F62" s="375">
        <f t="shared" si="6"/>
        <v>0</v>
      </c>
      <c r="G62" s="531"/>
      <c r="H62" s="377">
        <v>0</v>
      </c>
      <c r="I62" s="375">
        <f t="shared" si="7"/>
        <v>0</v>
      </c>
      <c r="J62" s="378"/>
      <c r="K62" s="532">
        <f t="shared" si="8"/>
        <v>0</v>
      </c>
      <c r="L62" s="380"/>
      <c r="M62" s="381"/>
      <c r="N62" s="382"/>
      <c r="O62" s="383"/>
      <c r="P62" s="384"/>
      <c r="Q62" s="385"/>
    </row>
    <row r="63" spans="1:17" x14ac:dyDescent="0.2">
      <c r="A63" s="372"/>
      <c r="B63" s="5"/>
      <c r="C63" s="373"/>
      <c r="D63" s="374" t="s">
        <v>21</v>
      </c>
      <c r="E63" s="255">
        <v>0</v>
      </c>
      <c r="F63" s="375">
        <f t="shared" si="6"/>
        <v>0</v>
      </c>
      <c r="G63" s="531"/>
      <c r="H63" s="377">
        <v>0</v>
      </c>
      <c r="I63" s="375">
        <f t="shared" si="7"/>
        <v>0</v>
      </c>
      <c r="J63" s="378"/>
      <c r="K63" s="532">
        <f t="shared" si="8"/>
        <v>0</v>
      </c>
      <c r="L63" s="380"/>
      <c r="M63" s="381"/>
      <c r="N63" s="382"/>
      <c r="O63" s="383"/>
      <c r="P63" s="384"/>
      <c r="Q63" s="385"/>
    </row>
    <row r="64" spans="1:17" ht="13.5" thickBot="1" x14ac:dyDescent="0.25">
      <c r="A64" s="389"/>
      <c r="B64" s="5"/>
      <c r="C64" s="390"/>
      <c r="D64" s="374"/>
      <c r="E64" s="255"/>
      <c r="F64" s="375"/>
      <c r="G64" s="531"/>
      <c r="H64" s="377"/>
      <c r="I64" s="375"/>
      <c r="J64" s="378"/>
      <c r="K64" s="537"/>
      <c r="L64" s="380"/>
      <c r="M64" s="381"/>
      <c r="N64" s="382"/>
      <c r="O64" s="383"/>
      <c r="P64" s="384"/>
      <c r="Q64" s="385"/>
    </row>
    <row r="65" spans="1:17" ht="14.25" thickTop="1" thickBot="1" x14ac:dyDescent="0.25">
      <c r="A65" s="389"/>
      <c r="B65" s="414"/>
      <c r="C65" s="390"/>
      <c r="D65" s="374"/>
      <c r="E65" s="255"/>
      <c r="F65" s="375"/>
      <c r="G65" s="531"/>
      <c r="H65" s="377"/>
      <c r="I65" s="375"/>
      <c r="J65" s="391" t="s">
        <v>30</v>
      </c>
      <c r="K65" s="534">
        <f>SUM(K57:K64)</f>
        <v>0</v>
      </c>
      <c r="L65" s="538"/>
      <c r="M65" s="576"/>
      <c r="N65" s="539"/>
      <c r="O65" s="542"/>
      <c r="P65" s="543"/>
      <c r="Q65" s="385"/>
    </row>
    <row r="66" spans="1:17" ht="14.1" customHeight="1" thickTop="1" x14ac:dyDescent="0.25">
      <c r="A66" s="480"/>
      <c r="B66" s="481"/>
      <c r="C66" s="482"/>
      <c r="D66" s="482"/>
      <c r="E66" s="483"/>
      <c r="F66" s="978" t="s">
        <v>658</v>
      </c>
      <c r="G66" s="1001" t="s">
        <v>682</v>
      </c>
      <c r="H66" s="483"/>
      <c r="I66" s="971" t="s">
        <v>657</v>
      </c>
      <c r="J66" s="967" t="s">
        <v>683</v>
      </c>
      <c r="K66" s="1003" t="s">
        <v>31</v>
      </c>
      <c r="L66" s="544"/>
      <c r="M66" s="545"/>
      <c r="N66" s="546"/>
      <c r="O66" s="547"/>
      <c r="P66" s="547"/>
      <c r="Q66" s="548"/>
    </row>
    <row r="67" spans="1:17" ht="15" x14ac:dyDescent="0.2">
      <c r="A67" s="484" t="s">
        <v>32</v>
      </c>
      <c r="B67" s="973" t="s">
        <v>43</v>
      </c>
      <c r="C67" s="485"/>
      <c r="D67" s="486"/>
      <c r="E67" s="486"/>
      <c r="F67" s="979"/>
      <c r="G67" s="1002"/>
      <c r="H67" s="487"/>
      <c r="I67" s="972"/>
      <c r="J67" s="968"/>
      <c r="K67" s="1004"/>
      <c r="L67" s="549"/>
      <c r="M67" s="257"/>
      <c r="O67" s="550"/>
      <c r="P67" s="550"/>
      <c r="Q67" s="551"/>
    </row>
    <row r="68" spans="1:17" ht="15" x14ac:dyDescent="0.25">
      <c r="A68" s="488">
        <f>K68/E6</f>
        <v>0</v>
      </c>
      <c r="B68" s="973"/>
      <c r="C68" s="486"/>
      <c r="D68" s="486"/>
      <c r="E68" s="486"/>
      <c r="F68" s="961">
        <f>SUM(F57:F64,F48:F53,F40:F44,F29:F36,F13:F25)</f>
        <v>0</v>
      </c>
      <c r="G68" s="1006">
        <f>SUM(G57:G64,G48:G53,G40:G44,G29:G36,G13:G25)</f>
        <v>0</v>
      </c>
      <c r="H68" s="487"/>
      <c r="I68" s="961">
        <f>SUM(I57:I64,I48:I53,I40:I44,I29:I36,I13:I25)</f>
        <v>0</v>
      </c>
      <c r="J68" s="961">
        <f>SUM(J57:J64,J48:J53,J40:J44,J29:J36,J13:J25)</f>
        <v>0</v>
      </c>
      <c r="K68" s="969">
        <f>K65+K54+K45+K37+K26</f>
        <v>0</v>
      </c>
      <c r="L68" s="549"/>
      <c r="M68" s="257"/>
      <c r="O68" s="550"/>
      <c r="P68" s="550"/>
      <c r="Q68" s="551"/>
    </row>
    <row r="69" spans="1:17" ht="15" thickBot="1" x14ac:dyDescent="0.25">
      <c r="A69" s="484"/>
      <c r="B69" s="552"/>
      <c r="C69" s="490"/>
      <c r="D69" s="490"/>
      <c r="E69" s="490"/>
      <c r="F69" s="962"/>
      <c r="G69" s="1007"/>
      <c r="H69" s="490"/>
      <c r="I69" s="962"/>
      <c r="J69" s="962"/>
      <c r="K69" s="970"/>
      <c r="L69" s="549"/>
      <c r="M69" s="257"/>
      <c r="O69" s="550"/>
      <c r="P69" s="550"/>
      <c r="Q69" s="551"/>
    </row>
    <row r="70" spans="1:17" ht="13.5" thickBot="1" x14ac:dyDescent="0.25">
      <c r="A70" s="491"/>
      <c r="B70" s="492"/>
      <c r="C70" s="492"/>
      <c r="D70" s="492"/>
      <c r="E70" s="492"/>
      <c r="F70" s="492"/>
      <c r="G70" s="492"/>
      <c r="H70" s="492"/>
      <c r="I70" s="492"/>
      <c r="J70" s="492"/>
      <c r="K70" s="492"/>
      <c r="L70" s="549"/>
      <c r="M70" s="257"/>
      <c r="O70" s="550"/>
      <c r="P70" s="550"/>
      <c r="Q70" s="551"/>
    </row>
    <row r="71" spans="1:17" x14ac:dyDescent="0.2">
      <c r="M71" s="257"/>
      <c r="O71" s="550"/>
      <c r="P71" s="550"/>
      <c r="Q71" s="551"/>
    </row>
    <row r="72" spans="1:17" x14ac:dyDescent="0.2">
      <c r="M72" s="257"/>
      <c r="O72" s="550"/>
      <c r="P72" s="550"/>
      <c r="Q72" s="551"/>
    </row>
    <row r="73" spans="1:17" x14ac:dyDescent="0.2">
      <c r="M73" s="257"/>
      <c r="O73" s="550"/>
      <c r="P73" s="550"/>
      <c r="Q73" s="551"/>
    </row>
    <row r="74" spans="1:17" x14ac:dyDescent="0.2">
      <c r="M74" s="257"/>
      <c r="O74" s="550"/>
      <c r="P74" s="550"/>
      <c r="Q74" s="551"/>
    </row>
    <row r="75" spans="1:17" x14ac:dyDescent="0.2">
      <c r="M75" s="257"/>
      <c r="O75" s="550"/>
      <c r="P75" s="550"/>
      <c r="Q75" s="551"/>
    </row>
    <row r="76" spans="1:17" x14ac:dyDescent="0.2">
      <c r="M76" s="257"/>
      <c r="O76" s="550"/>
      <c r="P76" s="550"/>
      <c r="Q76" s="551"/>
    </row>
    <row r="77" spans="1:17" x14ac:dyDescent="0.2">
      <c r="M77" s="257"/>
      <c r="O77" s="550"/>
      <c r="P77" s="550"/>
      <c r="Q77" s="551"/>
    </row>
    <row r="78" spans="1:17" x14ac:dyDescent="0.2">
      <c r="M78" s="257"/>
      <c r="O78" s="550"/>
      <c r="P78" s="550"/>
      <c r="Q78" s="551"/>
    </row>
    <row r="79" spans="1:17" x14ac:dyDescent="0.2">
      <c r="M79" s="257"/>
      <c r="O79" s="550"/>
      <c r="P79" s="550"/>
      <c r="Q79" s="551"/>
    </row>
    <row r="80" spans="1:17" x14ac:dyDescent="0.2">
      <c r="M80" s="257"/>
      <c r="O80" s="550"/>
      <c r="P80" s="550"/>
      <c r="Q80" s="551"/>
    </row>
    <row r="81" spans="13:17" x14ac:dyDescent="0.2">
      <c r="M81" s="257"/>
      <c r="O81" s="550"/>
      <c r="P81" s="550"/>
      <c r="Q81" s="551"/>
    </row>
    <row r="82" spans="13:17" x14ac:dyDescent="0.2">
      <c r="M82" s="257"/>
      <c r="O82" s="550"/>
      <c r="P82" s="550"/>
      <c r="Q82" s="551"/>
    </row>
    <row r="83" spans="13:17" x14ac:dyDescent="0.2">
      <c r="M83" s="257"/>
      <c r="O83" s="550"/>
      <c r="P83" s="550"/>
      <c r="Q83" s="551"/>
    </row>
    <row r="84" spans="13:17" x14ac:dyDescent="0.2">
      <c r="M84" s="257"/>
      <c r="O84" s="550"/>
      <c r="P84" s="550"/>
      <c r="Q84" s="551"/>
    </row>
    <row r="85" spans="13:17" x14ac:dyDescent="0.2">
      <c r="M85" s="257"/>
      <c r="O85" s="550"/>
      <c r="P85" s="550"/>
      <c r="Q85" s="551"/>
    </row>
    <row r="86" spans="13:17" x14ac:dyDescent="0.2">
      <c r="M86" s="257"/>
      <c r="O86" s="550"/>
      <c r="P86" s="550"/>
      <c r="Q86" s="551"/>
    </row>
    <row r="87" spans="13:17" x14ac:dyDescent="0.2">
      <c r="M87" s="257"/>
      <c r="O87" s="550"/>
      <c r="P87" s="550"/>
      <c r="Q87" s="551"/>
    </row>
    <row r="88" spans="13:17" x14ac:dyDescent="0.2">
      <c r="M88" s="257"/>
      <c r="O88" s="550"/>
      <c r="P88" s="550"/>
      <c r="Q88" s="551"/>
    </row>
    <row r="89" spans="13:17" x14ac:dyDescent="0.2">
      <c r="M89" s="257"/>
      <c r="O89" s="550"/>
      <c r="P89" s="550"/>
      <c r="Q89" s="551"/>
    </row>
    <row r="90" spans="13:17" x14ac:dyDescent="0.2">
      <c r="M90" s="257"/>
      <c r="O90" s="550"/>
      <c r="P90" s="550"/>
      <c r="Q90" s="551"/>
    </row>
    <row r="91" spans="13:17" x14ac:dyDescent="0.2">
      <c r="M91" s="257"/>
      <c r="O91" s="550"/>
      <c r="P91" s="550"/>
      <c r="Q91" s="551"/>
    </row>
    <row r="92" spans="13:17" x14ac:dyDescent="0.2">
      <c r="M92" s="257"/>
      <c r="O92" s="550"/>
      <c r="P92" s="550"/>
      <c r="Q92" s="551"/>
    </row>
    <row r="93" spans="13:17" x14ac:dyDescent="0.2">
      <c r="M93" s="257"/>
      <c r="O93" s="550"/>
      <c r="P93" s="550"/>
      <c r="Q93" s="551"/>
    </row>
    <row r="94" spans="13:17" x14ac:dyDescent="0.2">
      <c r="M94" s="257"/>
      <c r="O94" s="550"/>
      <c r="P94" s="550"/>
      <c r="Q94" s="551"/>
    </row>
    <row r="95" spans="13:17" x14ac:dyDescent="0.2">
      <c r="M95" s="257"/>
      <c r="O95" s="550"/>
      <c r="P95" s="550"/>
      <c r="Q95" s="551"/>
    </row>
    <row r="96" spans="13:17" x14ac:dyDescent="0.2">
      <c r="M96" s="257"/>
      <c r="O96" s="550"/>
      <c r="P96" s="550"/>
      <c r="Q96" s="551"/>
    </row>
    <row r="97" spans="13:17" x14ac:dyDescent="0.2">
      <c r="M97" s="257"/>
      <c r="O97" s="550"/>
      <c r="P97" s="550"/>
      <c r="Q97" s="551"/>
    </row>
    <row r="98" spans="13:17" x14ac:dyDescent="0.2">
      <c r="M98" s="257"/>
      <c r="O98" s="550"/>
      <c r="P98" s="550"/>
      <c r="Q98" s="551"/>
    </row>
  </sheetData>
  <mergeCells count="55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J68:J69"/>
    <mergeCell ref="K68:K69"/>
    <mergeCell ref="F66:F67"/>
    <mergeCell ref="G66:G67"/>
    <mergeCell ref="I66:I67"/>
    <mergeCell ref="J66:J67"/>
    <mergeCell ref="K66:K67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Q79"/>
  <sheetViews>
    <sheetView zoomScale="90" zoomScaleNormal="75" zoomScaleSheetLayoutView="90" zoomScalePageLayoutView="75" workbookViewId="0">
      <selection activeCell="B19" sqref="B19"/>
    </sheetView>
  </sheetViews>
  <sheetFormatPr defaultColWidth="9.140625" defaultRowHeight="12.75" x14ac:dyDescent="0.2"/>
  <cols>
    <col min="1" max="1" width="12.140625" style="157" bestFit="1" customWidth="1"/>
    <col min="2" max="2" width="44.5703125" style="157" customWidth="1"/>
    <col min="3" max="4" width="4.85546875" style="442" customWidth="1"/>
    <col min="5" max="5" width="11.140625" style="157" customWidth="1"/>
    <col min="6" max="6" width="12.42578125" style="157" customWidth="1"/>
    <col min="7" max="7" width="7" style="157" customWidth="1"/>
    <col min="8" max="8" width="11.140625" style="157" customWidth="1"/>
    <col min="9" max="9" width="12.42578125" style="157" customWidth="1"/>
    <col min="10" max="10" width="15.85546875" style="157" customWidth="1"/>
    <col min="11" max="11" width="14.140625" style="157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6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09"/>
      <c r="D9" s="1009"/>
      <c r="E9" s="1005"/>
      <c r="F9" s="1005"/>
      <c r="G9" s="1010"/>
      <c r="H9" s="1005"/>
      <c r="I9" s="1005"/>
      <c r="J9" s="1005"/>
      <c r="K9" s="1008"/>
      <c r="L9" s="470"/>
      <c r="M9" s="469"/>
      <c r="N9" s="415"/>
      <c r="O9" s="416"/>
      <c r="P9" s="416"/>
    </row>
    <row r="10" spans="1:17" ht="13.5" thickBot="1" x14ac:dyDescent="0.25">
      <c r="A10" s="403"/>
      <c r="B10" s="524"/>
      <c r="C10" s="1009"/>
      <c r="D10" s="1009"/>
      <c r="E10" s="1005"/>
      <c r="F10" s="1005"/>
      <c r="G10" s="1010"/>
      <c r="H10" s="1005"/>
      <c r="I10" s="1005"/>
      <c r="J10" s="1005"/>
      <c r="K10" s="1008"/>
      <c r="L10" s="470"/>
      <c r="M10" s="469"/>
      <c r="N10" s="415"/>
      <c r="O10" s="416"/>
      <c r="P10" s="416"/>
    </row>
    <row r="11" spans="1:17" ht="14.25" thickTop="1" thickBot="1" x14ac:dyDescent="0.25">
      <c r="A11" s="355" t="s">
        <v>0</v>
      </c>
      <c r="B11" s="356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357"/>
      <c r="K11" s="525"/>
      <c r="L11" s="951" t="s">
        <v>780</v>
      </c>
      <c r="M11" s="953" t="s">
        <v>781</v>
      </c>
      <c r="N11" s="955" t="s">
        <v>782</v>
      </c>
      <c r="O11" s="957"/>
      <c r="P11" s="959"/>
      <c r="Q11" s="949"/>
    </row>
    <row r="12" spans="1:17" ht="16.5" thickBot="1" x14ac:dyDescent="0.3">
      <c r="A12" s="581" t="s">
        <v>178</v>
      </c>
      <c r="B12" s="582" t="s">
        <v>184</v>
      </c>
      <c r="C12" s="362" t="s">
        <v>19</v>
      </c>
      <c r="D12" s="362" t="s">
        <v>33</v>
      </c>
      <c r="E12" s="363" t="s">
        <v>35</v>
      </c>
      <c r="F12" s="364" t="s">
        <v>30</v>
      </c>
      <c r="G12" s="528" t="s">
        <v>14</v>
      </c>
      <c r="H12" s="363" t="s">
        <v>35</v>
      </c>
      <c r="I12" s="364" t="s">
        <v>30</v>
      </c>
      <c r="J12" s="366" t="s">
        <v>659</v>
      </c>
      <c r="K12" s="529" t="s">
        <v>38</v>
      </c>
      <c r="L12" s="952"/>
      <c r="M12" s="954"/>
      <c r="N12" s="956"/>
      <c r="O12" s="958"/>
      <c r="P12" s="960"/>
      <c r="Q12" s="950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ref="F13:F24" si="0">C13*E13</f>
        <v>0</v>
      </c>
      <c r="G13" s="531"/>
      <c r="H13" s="377">
        <v>0</v>
      </c>
      <c r="I13" s="375">
        <f t="shared" ref="I13:I24" si="1">G13*H13</f>
        <v>0</v>
      </c>
      <c r="J13" s="378"/>
      <c r="K13" s="532">
        <f t="shared" ref="K13:K24" si="2">F13+I13+J13</f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5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72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72"/>
      <c r="B17" s="6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380"/>
      <c r="M17" s="381"/>
      <c r="N17" s="382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380"/>
      <c r="M18" s="381"/>
      <c r="N18" s="382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380"/>
      <c r="M19" s="381"/>
      <c r="N19" s="382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380"/>
      <c r="M20" s="381"/>
      <c r="N20" s="382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380"/>
      <c r="M21" s="381"/>
      <c r="N21" s="382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380"/>
      <c r="M22" s="381"/>
      <c r="N22" s="382"/>
      <c r="O22" s="383"/>
      <c r="P22" s="384"/>
      <c r="Q22" s="385"/>
    </row>
    <row r="23" spans="1:17" x14ac:dyDescent="0.2">
      <c r="A23" s="386"/>
      <c r="B23" s="5"/>
      <c r="C23" s="373"/>
      <c r="D23" s="374" t="s">
        <v>21</v>
      </c>
      <c r="E23" s="255">
        <v>0</v>
      </c>
      <c r="F23" s="375">
        <f t="shared" si="0"/>
        <v>0</v>
      </c>
      <c r="G23" s="531"/>
      <c r="H23" s="377">
        <v>0</v>
      </c>
      <c r="I23" s="375">
        <f t="shared" si="1"/>
        <v>0</v>
      </c>
      <c r="J23" s="378"/>
      <c r="K23" s="532">
        <f t="shared" si="2"/>
        <v>0</v>
      </c>
      <c r="L23" s="380"/>
      <c r="M23" s="381"/>
      <c r="N23" s="382"/>
      <c r="O23" s="383"/>
      <c r="P23" s="384"/>
      <c r="Q23" s="385"/>
    </row>
    <row r="24" spans="1:17" x14ac:dyDescent="0.2">
      <c r="A24" s="386"/>
      <c r="B24" s="5"/>
      <c r="C24" s="373"/>
      <c r="D24" s="374" t="s">
        <v>21</v>
      </c>
      <c r="E24" s="255">
        <v>0</v>
      </c>
      <c r="F24" s="375">
        <f t="shared" si="0"/>
        <v>0</v>
      </c>
      <c r="G24" s="531"/>
      <c r="H24" s="377">
        <v>0</v>
      </c>
      <c r="I24" s="375">
        <f t="shared" si="1"/>
        <v>0</v>
      </c>
      <c r="J24" s="378"/>
      <c r="K24" s="532">
        <f t="shared" si="2"/>
        <v>0</v>
      </c>
      <c r="L24" s="380"/>
      <c r="M24" s="381"/>
      <c r="N24" s="382"/>
      <c r="O24" s="383"/>
      <c r="P24" s="384"/>
      <c r="Q24" s="385"/>
    </row>
    <row r="25" spans="1:17" ht="13.5" thickBot="1" x14ac:dyDescent="0.25">
      <c r="A25" s="389"/>
      <c r="B25" s="7"/>
      <c r="C25" s="390"/>
      <c r="D25" s="374"/>
      <c r="E25" s="255"/>
      <c r="F25" s="375"/>
      <c r="G25" s="531"/>
      <c r="H25" s="377"/>
      <c r="I25" s="375"/>
      <c r="J25" s="378"/>
      <c r="K25" s="532"/>
      <c r="L25" s="380"/>
      <c r="M25" s="381"/>
      <c r="N25" s="382"/>
      <c r="O25" s="383"/>
      <c r="P25" s="384"/>
      <c r="Q25" s="385"/>
    </row>
    <row r="26" spans="1:17" ht="13.5" thickTop="1" x14ac:dyDescent="0.2">
      <c r="A26" s="389"/>
      <c r="B26" s="7"/>
      <c r="C26" s="390"/>
      <c r="D26" s="374"/>
      <c r="E26" s="255"/>
      <c r="F26" s="375"/>
      <c r="G26" s="531"/>
      <c r="H26" s="377"/>
      <c r="I26" s="375"/>
      <c r="J26" s="391" t="s">
        <v>30</v>
      </c>
      <c r="K26" s="534">
        <f>SUM(K13:K25)</f>
        <v>0</v>
      </c>
      <c r="L26" s="380"/>
      <c r="M26" s="381"/>
      <c r="N26" s="382"/>
      <c r="O26" s="383"/>
      <c r="P26" s="384"/>
      <c r="Q26" s="385"/>
    </row>
    <row r="27" spans="1:17" s="159" customFormat="1" ht="13.5" thickBot="1" x14ac:dyDescent="0.25">
      <c r="A27" s="355" t="s">
        <v>0</v>
      </c>
      <c r="B27" s="356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357"/>
      <c r="K27" s="525"/>
      <c r="L27" s="393"/>
      <c r="M27" s="394"/>
      <c r="N27" s="395"/>
      <c r="O27" s="383"/>
      <c r="P27" s="384"/>
      <c r="Q27" s="385"/>
    </row>
    <row r="28" spans="1:17" s="159" customFormat="1" ht="16.5" thickBot="1" x14ac:dyDescent="0.3">
      <c r="A28" s="581" t="s">
        <v>179</v>
      </c>
      <c r="B28" s="582" t="s">
        <v>185</v>
      </c>
      <c r="C28" s="399" t="s">
        <v>19</v>
      </c>
      <c r="D28" s="399" t="s">
        <v>33</v>
      </c>
      <c r="E28" s="400" t="s">
        <v>35</v>
      </c>
      <c r="F28" s="401" t="s">
        <v>30</v>
      </c>
      <c r="G28" s="535" t="s">
        <v>14</v>
      </c>
      <c r="H28" s="400" t="s">
        <v>35</v>
      </c>
      <c r="I28" s="401" t="s">
        <v>30</v>
      </c>
      <c r="J28" s="366" t="s">
        <v>659</v>
      </c>
      <c r="K28" s="536" t="s">
        <v>38</v>
      </c>
      <c r="L28" s="404"/>
      <c r="M28" s="405"/>
      <c r="N28" s="406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ref="F29:F35" si="3">C29*E29</f>
        <v>0</v>
      </c>
      <c r="G29" s="531"/>
      <c r="H29" s="377">
        <v>0</v>
      </c>
      <c r="I29" s="375">
        <f t="shared" ref="I29:I35" si="4">G29*H29</f>
        <v>0</v>
      </c>
      <c r="J29" s="378"/>
      <c r="K29" s="532">
        <f t="shared" ref="K29:K35" si="5">F29+I29+J29</f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380"/>
      <c r="M31" s="381"/>
      <c r="N31" s="382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380"/>
      <c r="M32" s="381"/>
      <c r="N32" s="382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380"/>
      <c r="M33" s="381"/>
      <c r="N33" s="382"/>
      <c r="O33" s="383"/>
      <c r="P33" s="384"/>
      <c r="Q33" s="385"/>
    </row>
    <row r="34" spans="1:17" s="159" customFormat="1" x14ac:dyDescent="0.2">
      <c r="A34" s="372"/>
      <c r="B34" s="5"/>
      <c r="C34" s="373"/>
      <c r="D34" s="374" t="s">
        <v>21</v>
      </c>
      <c r="E34" s="255">
        <v>0</v>
      </c>
      <c r="F34" s="375">
        <f t="shared" si="3"/>
        <v>0</v>
      </c>
      <c r="G34" s="531"/>
      <c r="H34" s="377">
        <v>0</v>
      </c>
      <c r="I34" s="375">
        <f t="shared" si="4"/>
        <v>0</v>
      </c>
      <c r="J34" s="378"/>
      <c r="K34" s="532">
        <f t="shared" si="5"/>
        <v>0</v>
      </c>
      <c r="L34" s="380"/>
      <c r="M34" s="381"/>
      <c r="N34" s="382"/>
      <c r="O34" s="383"/>
      <c r="P34" s="384"/>
      <c r="Q34" s="385"/>
    </row>
    <row r="35" spans="1:17" s="159" customFormat="1" x14ac:dyDescent="0.2">
      <c r="A35" s="372"/>
      <c r="B35" s="5"/>
      <c r="C35" s="373"/>
      <c r="D35" s="374" t="s">
        <v>21</v>
      </c>
      <c r="E35" s="255">
        <v>0</v>
      </c>
      <c r="F35" s="375">
        <f t="shared" si="3"/>
        <v>0</v>
      </c>
      <c r="G35" s="531"/>
      <c r="H35" s="377">
        <v>0</v>
      </c>
      <c r="I35" s="375">
        <f t="shared" si="4"/>
        <v>0</v>
      </c>
      <c r="J35" s="378"/>
      <c r="K35" s="532">
        <f t="shared" si="5"/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72"/>
      <c r="B36" s="5"/>
      <c r="C36" s="390"/>
      <c r="D36" s="374"/>
      <c r="E36" s="255"/>
      <c r="F36" s="375"/>
      <c r="G36" s="531"/>
      <c r="H36" s="377"/>
      <c r="I36" s="375"/>
      <c r="J36" s="378"/>
      <c r="K36" s="537"/>
      <c r="L36" s="380"/>
      <c r="M36" s="381"/>
      <c r="N36" s="382"/>
      <c r="O36" s="383"/>
      <c r="P36" s="384"/>
      <c r="Q36" s="385"/>
    </row>
    <row r="37" spans="1:17" s="159" customFormat="1" ht="13.5" thickTop="1" x14ac:dyDescent="0.2">
      <c r="A37" s="389"/>
      <c r="B37" s="5"/>
      <c r="C37" s="390"/>
      <c r="D37" s="374"/>
      <c r="E37" s="255"/>
      <c r="F37" s="375"/>
      <c r="G37" s="531"/>
      <c r="H37" s="377"/>
      <c r="I37" s="375"/>
      <c r="J37" s="391" t="s">
        <v>30</v>
      </c>
      <c r="K37" s="534">
        <f>SUM(K29:K36)</f>
        <v>0</v>
      </c>
      <c r="L37" s="380"/>
      <c r="M37" s="381"/>
      <c r="N37" s="382"/>
      <c r="O37" s="383"/>
      <c r="P37" s="384"/>
      <c r="Q37" s="385"/>
    </row>
    <row r="38" spans="1:17" s="159" customFormat="1" ht="13.5" thickBot="1" x14ac:dyDescent="0.25">
      <c r="A38" s="355" t="s">
        <v>0</v>
      </c>
      <c r="B38" s="356" t="s">
        <v>1</v>
      </c>
      <c r="C38" s="948" t="s">
        <v>656</v>
      </c>
      <c r="D38" s="948"/>
      <c r="E38" s="948"/>
      <c r="F38" s="948"/>
      <c r="G38" s="948" t="s">
        <v>34</v>
      </c>
      <c r="H38" s="948"/>
      <c r="I38" s="948"/>
      <c r="J38" s="357"/>
      <c r="K38" s="525"/>
      <c r="L38" s="393"/>
      <c r="M38" s="394"/>
      <c r="N38" s="395"/>
      <c r="O38" s="383"/>
      <c r="P38" s="384"/>
      <c r="Q38" s="385"/>
    </row>
    <row r="39" spans="1:17" s="159" customFormat="1" ht="16.5" thickBot="1" x14ac:dyDescent="0.3">
      <c r="A39" s="581" t="s">
        <v>180</v>
      </c>
      <c r="B39" s="582" t="s">
        <v>186</v>
      </c>
      <c r="C39" s="399" t="s">
        <v>19</v>
      </c>
      <c r="D39" s="399" t="s">
        <v>33</v>
      </c>
      <c r="E39" s="400" t="s">
        <v>35</v>
      </c>
      <c r="F39" s="401" t="s">
        <v>30</v>
      </c>
      <c r="G39" s="535" t="s">
        <v>14</v>
      </c>
      <c r="H39" s="400" t="s">
        <v>35</v>
      </c>
      <c r="I39" s="401" t="s">
        <v>30</v>
      </c>
      <c r="J39" s="366" t="s">
        <v>659</v>
      </c>
      <c r="K39" s="536" t="s">
        <v>38</v>
      </c>
      <c r="L39" s="404"/>
      <c r="M39" s="410"/>
      <c r="N39" s="411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257"/>
      <c r="N40" s="423"/>
      <c r="O40" s="412"/>
      <c r="P40" s="413"/>
      <c r="Q40" s="385"/>
    </row>
    <row r="41" spans="1:17" s="159" customFormat="1" x14ac:dyDescent="0.2">
      <c r="A41" s="372"/>
      <c r="B41" s="5"/>
      <c r="C41" s="373"/>
      <c r="D41" s="374" t="s">
        <v>21</v>
      </c>
      <c r="E41" s="255">
        <v>0</v>
      </c>
      <c r="F41" s="375">
        <f>C41*E41</f>
        <v>0</v>
      </c>
      <c r="G41" s="531"/>
      <c r="H41" s="377">
        <v>0</v>
      </c>
      <c r="I41" s="375">
        <f>G41*H41</f>
        <v>0</v>
      </c>
      <c r="J41" s="378"/>
      <c r="K41" s="532">
        <f>F41+I41+J41</f>
        <v>0</v>
      </c>
      <c r="L41" s="380"/>
      <c r="M41" s="257"/>
      <c r="N41" s="423"/>
      <c r="O41" s="412"/>
      <c r="P41" s="413"/>
      <c r="Q41" s="385"/>
    </row>
    <row r="42" spans="1:17" s="159" customFormat="1" x14ac:dyDescent="0.2">
      <c r="A42" s="372"/>
      <c r="B42" s="5"/>
      <c r="C42" s="373"/>
      <c r="D42" s="374" t="s">
        <v>21</v>
      </c>
      <c r="E42" s="255">
        <v>0</v>
      </c>
      <c r="F42" s="375">
        <f>C42*E42</f>
        <v>0</v>
      </c>
      <c r="G42" s="531"/>
      <c r="H42" s="377">
        <v>0</v>
      </c>
      <c r="I42" s="375">
        <f>G42*H42</f>
        <v>0</v>
      </c>
      <c r="J42" s="378"/>
      <c r="K42" s="532">
        <f>F42+I42+J42</f>
        <v>0</v>
      </c>
      <c r="L42" s="380"/>
      <c r="M42" s="257"/>
      <c r="N42" s="423"/>
      <c r="O42" s="412"/>
      <c r="P42" s="413"/>
      <c r="Q42" s="385"/>
    </row>
    <row r="43" spans="1:17" s="159" customFormat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78"/>
      <c r="K43" s="537"/>
      <c r="L43" s="380"/>
      <c r="M43" s="257"/>
      <c r="N43" s="423"/>
      <c r="O43" s="412"/>
      <c r="P43" s="413"/>
      <c r="Q43" s="385"/>
    </row>
    <row r="44" spans="1:17" s="159" customFormat="1" ht="13.5" thickBot="1" x14ac:dyDescent="0.25">
      <c r="A44" s="389"/>
      <c r="B44" s="414"/>
      <c r="C44" s="390"/>
      <c r="D44" s="374"/>
      <c r="E44" s="255"/>
      <c r="F44" s="375"/>
      <c r="G44" s="531"/>
      <c r="H44" s="377"/>
      <c r="I44" s="375"/>
      <c r="J44" s="378"/>
      <c r="K44" s="537"/>
      <c r="L44" s="380"/>
      <c r="M44" s="257"/>
      <c r="N44" s="423"/>
      <c r="O44" s="412"/>
      <c r="P44" s="413"/>
      <c r="Q44" s="385"/>
    </row>
    <row r="45" spans="1:17" s="159" customFormat="1" ht="13.5" thickTop="1" x14ac:dyDescent="0.2">
      <c r="A45" s="389"/>
      <c r="B45" s="414"/>
      <c r="C45" s="390"/>
      <c r="D45" s="374"/>
      <c r="E45" s="255"/>
      <c r="F45" s="375"/>
      <c r="G45" s="531"/>
      <c r="H45" s="377"/>
      <c r="I45" s="375"/>
      <c r="J45" s="391" t="s">
        <v>30</v>
      </c>
      <c r="K45" s="534">
        <f>SUM(K40:K44)</f>
        <v>0</v>
      </c>
      <c r="L45" s="380"/>
      <c r="M45" s="257"/>
      <c r="N45" s="382"/>
      <c r="O45" s="383"/>
      <c r="P45" s="384"/>
      <c r="Q45" s="385"/>
    </row>
    <row r="46" spans="1:17" s="159" customFormat="1" ht="13.5" thickBot="1" x14ac:dyDescent="0.25">
      <c r="A46" s="355" t="s">
        <v>0</v>
      </c>
      <c r="B46" s="356" t="s">
        <v>1</v>
      </c>
      <c r="C46" s="948" t="s">
        <v>656</v>
      </c>
      <c r="D46" s="948"/>
      <c r="E46" s="948"/>
      <c r="F46" s="948"/>
      <c r="G46" s="948" t="s">
        <v>34</v>
      </c>
      <c r="H46" s="948"/>
      <c r="I46" s="948"/>
      <c r="J46" s="357"/>
      <c r="K46" s="525"/>
      <c r="L46" s="393"/>
      <c r="M46" s="357"/>
      <c r="N46" s="395"/>
      <c r="O46" s="383"/>
      <c r="P46" s="384"/>
      <c r="Q46" s="385"/>
    </row>
    <row r="47" spans="1:17" s="159" customFormat="1" ht="16.5" thickBot="1" x14ac:dyDescent="0.3">
      <c r="A47" s="581" t="s">
        <v>181</v>
      </c>
      <c r="B47" s="582" t="s">
        <v>187</v>
      </c>
      <c r="C47" s="399" t="s">
        <v>19</v>
      </c>
      <c r="D47" s="399" t="s">
        <v>33</v>
      </c>
      <c r="E47" s="400" t="s">
        <v>35</v>
      </c>
      <c r="F47" s="401" t="s">
        <v>30</v>
      </c>
      <c r="G47" s="535" t="s">
        <v>14</v>
      </c>
      <c r="H47" s="400" t="s">
        <v>35</v>
      </c>
      <c r="I47" s="401" t="s">
        <v>30</v>
      </c>
      <c r="J47" s="366" t="s">
        <v>659</v>
      </c>
      <c r="K47" s="536" t="s">
        <v>38</v>
      </c>
      <c r="L47" s="404"/>
      <c r="M47" s="410"/>
      <c r="N47" s="406"/>
      <c r="O47" s="383"/>
      <c r="P47" s="413"/>
      <c r="Q47" s="385"/>
    </row>
    <row r="48" spans="1:17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380"/>
      <c r="M48" s="257"/>
      <c r="N48" s="382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380"/>
      <c r="M49" s="257"/>
      <c r="N49" s="382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382"/>
      <c r="O50" s="383"/>
      <c r="P50" s="384"/>
      <c r="Q50" s="385"/>
    </row>
    <row r="51" spans="1:17" s="159" customFormat="1" x14ac:dyDescent="0.2">
      <c r="A51" s="372"/>
      <c r="B51" s="5"/>
      <c r="C51" s="373"/>
      <c r="D51" s="374" t="s">
        <v>21</v>
      </c>
      <c r="E51" s="255">
        <v>0</v>
      </c>
      <c r="F51" s="375">
        <f>C51*E51</f>
        <v>0</v>
      </c>
      <c r="G51" s="531"/>
      <c r="H51" s="377">
        <v>0</v>
      </c>
      <c r="I51" s="375">
        <f>G51*H51</f>
        <v>0</v>
      </c>
      <c r="J51" s="378"/>
      <c r="K51" s="532">
        <f>F51+I51+J51</f>
        <v>0</v>
      </c>
      <c r="L51" s="380"/>
      <c r="M51" s="257"/>
      <c r="N51" s="382"/>
      <c r="O51" s="383"/>
      <c r="P51" s="384"/>
      <c r="Q51" s="385"/>
    </row>
    <row r="52" spans="1:17" s="159" customFormat="1" x14ac:dyDescent="0.2">
      <c r="A52" s="372"/>
      <c r="B52" s="5"/>
      <c r="C52" s="373"/>
      <c r="D52" s="374" t="s">
        <v>21</v>
      </c>
      <c r="E52" s="255">
        <v>0</v>
      </c>
      <c r="F52" s="375">
        <f>C52*E52</f>
        <v>0</v>
      </c>
      <c r="G52" s="531"/>
      <c r="H52" s="377">
        <v>0</v>
      </c>
      <c r="I52" s="375">
        <f>G52*H52</f>
        <v>0</v>
      </c>
      <c r="J52" s="378"/>
      <c r="K52" s="532">
        <f>F52+I52+J52</f>
        <v>0</v>
      </c>
      <c r="L52" s="380"/>
      <c r="M52" s="257"/>
      <c r="N52" s="382"/>
      <c r="O52" s="383"/>
      <c r="P52" s="384"/>
      <c r="Q52" s="385"/>
    </row>
    <row r="53" spans="1:17" s="159" customFormat="1" ht="13.5" thickBot="1" x14ac:dyDescent="0.25">
      <c r="A53" s="389"/>
      <c r="B53" s="414"/>
      <c r="C53" s="390"/>
      <c r="D53" s="374"/>
      <c r="E53" s="255"/>
      <c r="F53" s="375"/>
      <c r="G53" s="531"/>
      <c r="H53" s="377"/>
      <c r="I53" s="375"/>
      <c r="J53" s="378"/>
      <c r="K53" s="537"/>
      <c r="L53" s="380"/>
      <c r="M53" s="257"/>
      <c r="N53" s="382"/>
      <c r="O53" s="383"/>
      <c r="P53" s="384"/>
      <c r="Q53" s="385"/>
    </row>
    <row r="54" spans="1:17" s="159" customFormat="1" ht="13.5" thickTop="1" x14ac:dyDescent="0.2">
      <c r="A54" s="389"/>
      <c r="B54" s="414"/>
      <c r="C54" s="390"/>
      <c r="D54" s="374"/>
      <c r="E54" s="255"/>
      <c r="F54" s="375"/>
      <c r="G54" s="531"/>
      <c r="H54" s="377"/>
      <c r="I54" s="375"/>
      <c r="J54" s="391" t="s">
        <v>30</v>
      </c>
      <c r="K54" s="534">
        <f>SUM(K48:K53)</f>
        <v>0</v>
      </c>
      <c r="L54" s="380"/>
      <c r="M54" s="257"/>
      <c r="N54" s="423"/>
      <c r="O54" s="438"/>
      <c r="P54" s="439"/>
      <c r="Q54" s="385"/>
    </row>
    <row r="55" spans="1:17" s="159" customFormat="1" ht="13.5" thickBot="1" x14ac:dyDescent="0.25">
      <c r="A55" s="355" t="s">
        <v>0</v>
      </c>
      <c r="B55" s="356" t="s">
        <v>1</v>
      </c>
      <c r="C55" s="948" t="s">
        <v>656</v>
      </c>
      <c r="D55" s="948"/>
      <c r="E55" s="948"/>
      <c r="F55" s="948"/>
      <c r="G55" s="948" t="s">
        <v>34</v>
      </c>
      <c r="H55" s="948"/>
      <c r="I55" s="948"/>
      <c r="J55" s="357"/>
      <c r="K55" s="525"/>
      <c r="L55" s="393"/>
      <c r="M55" s="357"/>
      <c r="N55" s="440"/>
      <c r="O55" s="438"/>
      <c r="P55" s="439"/>
      <c r="Q55" s="385"/>
    </row>
    <row r="56" spans="1:17" s="159" customFormat="1" ht="16.5" thickBot="1" x14ac:dyDescent="0.3">
      <c r="A56" s="581" t="s">
        <v>182</v>
      </c>
      <c r="B56" s="582" t="s">
        <v>188</v>
      </c>
      <c r="C56" s="399" t="s">
        <v>19</v>
      </c>
      <c r="D56" s="399" t="s">
        <v>33</v>
      </c>
      <c r="E56" s="400" t="s">
        <v>35</v>
      </c>
      <c r="F56" s="401" t="s">
        <v>30</v>
      </c>
      <c r="G56" s="535" t="s">
        <v>14</v>
      </c>
      <c r="H56" s="400" t="s">
        <v>35</v>
      </c>
      <c r="I56" s="401" t="s">
        <v>30</v>
      </c>
      <c r="J56" s="366" t="s">
        <v>659</v>
      </c>
      <c r="K56" s="536" t="s">
        <v>38</v>
      </c>
      <c r="L56" s="404"/>
      <c r="M56" s="410"/>
      <c r="N56" s="411"/>
      <c r="O56" s="412"/>
      <c r="P56" s="413"/>
      <c r="Q56" s="385"/>
    </row>
    <row r="57" spans="1:17" x14ac:dyDescent="0.2">
      <c r="A57" s="372"/>
      <c r="B57" s="5"/>
      <c r="C57" s="373"/>
      <c r="D57" s="374" t="s">
        <v>21</v>
      </c>
      <c r="E57" s="255">
        <v>0</v>
      </c>
      <c r="F57" s="375">
        <f t="shared" ref="F57:F63" si="6">C57*E57</f>
        <v>0</v>
      </c>
      <c r="G57" s="531"/>
      <c r="H57" s="377">
        <v>0</v>
      </c>
      <c r="I57" s="375">
        <f t="shared" ref="I57:I63" si="7">G57*H57</f>
        <v>0</v>
      </c>
      <c r="J57" s="378"/>
      <c r="K57" s="532">
        <f t="shared" ref="K57:K63" si="8">F57+I57+J57</f>
        <v>0</v>
      </c>
      <c r="L57" s="380"/>
      <c r="M57" s="257"/>
      <c r="N57" s="382"/>
      <c r="O57" s="383"/>
      <c r="P57" s="384"/>
      <c r="Q57" s="385"/>
    </row>
    <row r="58" spans="1:17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381"/>
      <c r="N58" s="382"/>
      <c r="O58" s="383"/>
      <c r="P58" s="384"/>
      <c r="Q58" s="385"/>
    </row>
    <row r="59" spans="1:17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380"/>
      <c r="M59" s="381"/>
      <c r="N59" s="382"/>
      <c r="O59" s="383"/>
      <c r="P59" s="384"/>
      <c r="Q59" s="385"/>
    </row>
    <row r="60" spans="1:17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380"/>
      <c r="M60" s="381"/>
      <c r="N60" s="382"/>
      <c r="O60" s="383"/>
      <c r="P60" s="384"/>
      <c r="Q60" s="385"/>
    </row>
    <row r="61" spans="1:17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381"/>
      <c r="N61" s="382"/>
      <c r="O61" s="383"/>
      <c r="P61" s="384"/>
      <c r="Q61" s="385"/>
    </row>
    <row r="62" spans="1:17" x14ac:dyDescent="0.2">
      <c r="A62" s="372"/>
      <c r="B62" s="5"/>
      <c r="C62" s="373"/>
      <c r="D62" s="374" t="s">
        <v>21</v>
      </c>
      <c r="E62" s="255">
        <v>0</v>
      </c>
      <c r="F62" s="375">
        <f t="shared" si="6"/>
        <v>0</v>
      </c>
      <c r="G62" s="531"/>
      <c r="H62" s="377">
        <v>0</v>
      </c>
      <c r="I62" s="375">
        <f t="shared" si="7"/>
        <v>0</v>
      </c>
      <c r="J62" s="378"/>
      <c r="K62" s="532">
        <f t="shared" si="8"/>
        <v>0</v>
      </c>
      <c r="L62" s="380"/>
      <c r="M62" s="381"/>
      <c r="N62" s="382"/>
      <c r="O62" s="383"/>
      <c r="P62" s="384"/>
      <c r="Q62" s="385"/>
    </row>
    <row r="63" spans="1:17" x14ac:dyDescent="0.2">
      <c r="A63" s="372"/>
      <c r="B63" s="5"/>
      <c r="C63" s="373"/>
      <c r="D63" s="374" t="s">
        <v>21</v>
      </c>
      <c r="E63" s="255">
        <v>0</v>
      </c>
      <c r="F63" s="375">
        <f t="shared" si="6"/>
        <v>0</v>
      </c>
      <c r="G63" s="531"/>
      <c r="H63" s="377">
        <v>0</v>
      </c>
      <c r="I63" s="375">
        <f t="shared" si="7"/>
        <v>0</v>
      </c>
      <c r="J63" s="378"/>
      <c r="K63" s="532">
        <f t="shared" si="8"/>
        <v>0</v>
      </c>
      <c r="L63" s="380"/>
      <c r="M63" s="381"/>
      <c r="N63" s="382"/>
      <c r="O63" s="383"/>
      <c r="P63" s="384"/>
      <c r="Q63" s="385"/>
    </row>
    <row r="64" spans="1:17" ht="13.5" thickBot="1" x14ac:dyDescent="0.25">
      <c r="A64" s="389"/>
      <c r="B64" s="5"/>
      <c r="C64" s="390"/>
      <c r="D64" s="374"/>
      <c r="E64" s="255"/>
      <c r="F64" s="375"/>
      <c r="G64" s="531"/>
      <c r="H64" s="377"/>
      <c r="I64" s="375"/>
      <c r="J64" s="378"/>
      <c r="K64" s="537"/>
      <c r="L64" s="380"/>
      <c r="M64" s="381"/>
      <c r="N64" s="382"/>
      <c r="O64" s="383"/>
      <c r="P64" s="384"/>
      <c r="Q64" s="385"/>
    </row>
    <row r="65" spans="1:17" ht="13.5" thickTop="1" x14ac:dyDescent="0.2">
      <c r="A65" s="389"/>
      <c r="B65" s="414"/>
      <c r="C65" s="390"/>
      <c r="D65" s="374"/>
      <c r="E65" s="255"/>
      <c r="F65" s="375"/>
      <c r="G65" s="531"/>
      <c r="H65" s="377"/>
      <c r="I65" s="375"/>
      <c r="J65" s="391" t="s">
        <v>30</v>
      </c>
      <c r="K65" s="534">
        <f>SUM(K57:K64)</f>
        <v>0</v>
      </c>
      <c r="L65" s="380"/>
      <c r="M65" s="381"/>
      <c r="N65" s="382"/>
      <c r="O65" s="383"/>
      <c r="P65" s="384"/>
      <c r="Q65" s="385"/>
    </row>
    <row r="66" spans="1:17" ht="13.5" thickBot="1" x14ac:dyDescent="0.25">
      <c r="A66" s="355" t="s">
        <v>0</v>
      </c>
      <c r="B66" s="356" t="s">
        <v>1</v>
      </c>
      <c r="C66" s="948" t="s">
        <v>656</v>
      </c>
      <c r="D66" s="948"/>
      <c r="E66" s="948"/>
      <c r="F66" s="948"/>
      <c r="G66" s="948" t="s">
        <v>34</v>
      </c>
      <c r="H66" s="948"/>
      <c r="I66" s="948"/>
      <c r="J66" s="357"/>
      <c r="K66" s="525"/>
      <c r="L66" s="393"/>
      <c r="M66" s="394"/>
      <c r="N66" s="395"/>
      <c r="O66" s="383"/>
      <c r="P66" s="384"/>
      <c r="Q66" s="385"/>
    </row>
    <row r="67" spans="1:17" ht="16.5" thickBot="1" x14ac:dyDescent="0.3">
      <c r="A67" s="581" t="s">
        <v>183</v>
      </c>
      <c r="B67" s="582" t="s">
        <v>189</v>
      </c>
      <c r="C67" s="399" t="s">
        <v>19</v>
      </c>
      <c r="D67" s="399" t="s">
        <v>33</v>
      </c>
      <c r="E67" s="400" t="s">
        <v>35</v>
      </c>
      <c r="F67" s="401" t="s">
        <v>30</v>
      </c>
      <c r="G67" s="535" t="s">
        <v>14</v>
      </c>
      <c r="H67" s="400" t="s">
        <v>35</v>
      </c>
      <c r="I67" s="401" t="s">
        <v>30</v>
      </c>
      <c r="J67" s="366" t="s">
        <v>659</v>
      </c>
      <c r="K67" s="536" t="s">
        <v>38</v>
      </c>
      <c r="L67" s="404"/>
      <c r="M67" s="405"/>
      <c r="N67" s="406"/>
      <c r="O67" s="383"/>
      <c r="P67" s="384"/>
      <c r="Q67" s="385"/>
    </row>
    <row r="68" spans="1:17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L68" s="380"/>
      <c r="M68" s="381"/>
      <c r="N68" s="382"/>
      <c r="O68" s="383"/>
      <c r="P68" s="384"/>
      <c r="Q68" s="385"/>
    </row>
    <row r="69" spans="1:17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L69" s="380"/>
      <c r="M69" s="381"/>
      <c r="N69" s="382"/>
      <c r="O69" s="383"/>
      <c r="P69" s="384"/>
      <c r="Q69" s="385"/>
    </row>
    <row r="70" spans="1:17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L70" s="380"/>
      <c r="M70" s="381"/>
      <c r="N70" s="382"/>
      <c r="O70" s="383"/>
      <c r="P70" s="384"/>
      <c r="Q70" s="385"/>
    </row>
    <row r="71" spans="1:17" x14ac:dyDescent="0.2">
      <c r="A71" s="372"/>
      <c r="B71" s="5"/>
      <c r="C71" s="373"/>
      <c r="D71" s="374" t="s">
        <v>21</v>
      </c>
      <c r="E71" s="255">
        <v>0</v>
      </c>
      <c r="F71" s="375">
        <f>C71*E71</f>
        <v>0</v>
      </c>
      <c r="G71" s="531"/>
      <c r="H71" s="377">
        <v>0</v>
      </c>
      <c r="I71" s="375">
        <f>G71*H71</f>
        <v>0</v>
      </c>
      <c r="J71" s="378"/>
      <c r="K71" s="532">
        <f>F71+I71+J71</f>
        <v>0</v>
      </c>
      <c r="L71" s="380"/>
      <c r="M71" s="381"/>
      <c r="N71" s="382"/>
      <c r="O71" s="383"/>
      <c r="P71" s="384"/>
      <c r="Q71" s="385"/>
    </row>
    <row r="72" spans="1:17" x14ac:dyDescent="0.2">
      <c r="A72" s="372"/>
      <c r="B72" s="5"/>
      <c r="C72" s="373"/>
      <c r="D72" s="374" t="s">
        <v>21</v>
      </c>
      <c r="E72" s="255">
        <v>0</v>
      </c>
      <c r="F72" s="375">
        <f>C72*E72</f>
        <v>0</v>
      </c>
      <c r="G72" s="531"/>
      <c r="H72" s="377">
        <v>0</v>
      </c>
      <c r="I72" s="375">
        <f>G72*H72</f>
        <v>0</v>
      </c>
      <c r="J72" s="378"/>
      <c r="K72" s="532">
        <f>F72+I72+J72</f>
        <v>0</v>
      </c>
      <c r="L72" s="380"/>
      <c r="M72" s="381"/>
      <c r="N72" s="382"/>
      <c r="O72" s="383"/>
      <c r="P72" s="384"/>
      <c r="Q72" s="385"/>
    </row>
    <row r="73" spans="1:17" ht="13.5" thickBot="1" x14ac:dyDescent="0.25">
      <c r="A73" s="389"/>
      <c r="B73" s="5"/>
      <c r="C73" s="390"/>
      <c r="D73" s="374"/>
      <c r="E73" s="255"/>
      <c r="F73" s="375"/>
      <c r="G73" s="531"/>
      <c r="H73" s="377"/>
      <c r="I73" s="375"/>
      <c r="J73" s="378"/>
      <c r="K73" s="537"/>
      <c r="L73" s="380"/>
      <c r="M73" s="381"/>
      <c r="N73" s="382"/>
      <c r="O73" s="383"/>
      <c r="P73" s="384"/>
      <c r="Q73" s="385"/>
    </row>
    <row r="74" spans="1:17" ht="14.25" thickTop="1" thickBot="1" x14ac:dyDescent="0.25">
      <c r="A74" s="389"/>
      <c r="B74" s="414"/>
      <c r="C74" s="390"/>
      <c r="D74" s="374"/>
      <c r="E74" s="255"/>
      <c r="F74" s="375"/>
      <c r="G74" s="531"/>
      <c r="H74" s="377"/>
      <c r="I74" s="375"/>
      <c r="J74" s="391" t="s">
        <v>30</v>
      </c>
      <c r="K74" s="534">
        <f>SUM(K68:K73)</f>
        <v>0</v>
      </c>
      <c r="L74" s="459"/>
      <c r="M74" s="460"/>
      <c r="N74" s="461"/>
      <c r="O74" s="462"/>
      <c r="P74" s="463"/>
      <c r="Q74" s="464"/>
    </row>
    <row r="75" spans="1:17" ht="14.1" customHeight="1" thickTop="1" x14ac:dyDescent="0.25">
      <c r="A75" s="480"/>
      <c r="B75" s="481"/>
      <c r="C75" s="482"/>
      <c r="D75" s="482"/>
      <c r="E75" s="483"/>
      <c r="F75" s="978" t="s">
        <v>658</v>
      </c>
      <c r="G75" s="1001" t="s">
        <v>682</v>
      </c>
      <c r="H75" s="483"/>
      <c r="I75" s="971" t="s">
        <v>657</v>
      </c>
      <c r="J75" s="967" t="s">
        <v>683</v>
      </c>
      <c r="K75" s="965" t="s">
        <v>31</v>
      </c>
    </row>
    <row r="76" spans="1:17" ht="15" x14ac:dyDescent="0.2">
      <c r="A76" s="484" t="s">
        <v>32</v>
      </c>
      <c r="B76" s="973" t="s">
        <v>25</v>
      </c>
      <c r="C76" s="485"/>
      <c r="D76" s="486"/>
      <c r="E76" s="486"/>
      <c r="F76" s="979"/>
      <c r="G76" s="1002"/>
      <c r="H76" s="487"/>
      <c r="I76" s="972"/>
      <c r="J76" s="968"/>
      <c r="K76" s="966"/>
    </row>
    <row r="77" spans="1:17" ht="15" x14ac:dyDescent="0.25">
      <c r="A77" s="827">
        <f>K77/E6</f>
        <v>0</v>
      </c>
      <c r="B77" s="973"/>
      <c r="C77" s="486"/>
      <c r="D77" s="486"/>
      <c r="E77" s="486"/>
      <c r="F77" s="969">
        <f>SUM(F68:F73,F57:F64,F48:F53,F40:F44,F29:F36,F13:F25)</f>
        <v>0</v>
      </c>
      <c r="G77" s="1015">
        <f>SUM(G68:G73,G57:G64,G48:G53,G40:G44,G29:G36,G13:G24)</f>
        <v>0</v>
      </c>
      <c r="H77" s="487"/>
      <c r="I77" s="969">
        <f>SUM(I68:I73,I57:I64,I48:I53,I40:I44,I29:I36,I13:I25)</f>
        <v>0</v>
      </c>
      <c r="J77" s="961">
        <f>SUM(J68:J73,J57:J63,J48:J53,J40:J44,J29:J36,J13:J25)</f>
        <v>0</v>
      </c>
      <c r="K77" s="963">
        <f>SUM(,K74,K65,K54,K45,K37,K26)</f>
        <v>0</v>
      </c>
    </row>
    <row r="78" spans="1:17" ht="15" thickBot="1" x14ac:dyDescent="0.25">
      <c r="A78" s="484"/>
      <c r="B78" s="552"/>
      <c r="C78" s="490"/>
      <c r="D78" s="490"/>
      <c r="E78" s="490"/>
      <c r="F78" s="970"/>
      <c r="G78" s="1016"/>
      <c r="H78" s="490"/>
      <c r="I78" s="970"/>
      <c r="J78" s="962"/>
      <c r="K78" s="964"/>
    </row>
    <row r="79" spans="1:17" ht="13.5" thickBot="1" x14ac:dyDescent="0.25">
      <c r="A79" s="491"/>
      <c r="B79" s="492"/>
      <c r="C79" s="492"/>
      <c r="D79" s="492"/>
      <c r="E79" s="492"/>
      <c r="F79" s="492"/>
      <c r="G79" s="492"/>
      <c r="H79" s="492"/>
      <c r="I79" s="492"/>
      <c r="J79" s="492"/>
      <c r="K79" s="493"/>
    </row>
  </sheetData>
  <mergeCells count="57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C27:F27"/>
    <mergeCell ref="G27:I27"/>
    <mergeCell ref="C38:F38"/>
    <mergeCell ref="G38:I38"/>
    <mergeCell ref="C46:F46"/>
    <mergeCell ref="G46:I46"/>
    <mergeCell ref="B76:B77"/>
    <mergeCell ref="F77:F78"/>
    <mergeCell ref="G77:G78"/>
    <mergeCell ref="I77:I78"/>
    <mergeCell ref="C55:F55"/>
    <mergeCell ref="G55:I55"/>
    <mergeCell ref="C66:F66"/>
    <mergeCell ref="G66:I66"/>
    <mergeCell ref="J77:J78"/>
    <mergeCell ref="K77:K78"/>
    <mergeCell ref="F75:F76"/>
    <mergeCell ref="G75:G76"/>
    <mergeCell ref="I75:I76"/>
    <mergeCell ref="J75:J76"/>
    <mergeCell ref="K75:K76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7" fitToHeight="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W244"/>
  <sheetViews>
    <sheetView topLeftCell="A61" zoomScaleNormal="100" zoomScaleSheetLayoutView="90" zoomScalePageLayoutView="75" workbookViewId="0">
      <selection activeCell="E32" sqref="E32"/>
    </sheetView>
  </sheetViews>
  <sheetFormatPr defaultColWidth="9.140625" defaultRowHeight="12.75" x14ac:dyDescent="0.2"/>
  <cols>
    <col min="1" max="1" width="12.140625" style="157" bestFit="1" customWidth="1"/>
    <col min="2" max="2" width="44.5703125" style="322" customWidth="1"/>
    <col min="3" max="4" width="5" style="442" customWidth="1"/>
    <col min="5" max="5" width="12.4257812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85546875" style="157" bestFit="1" customWidth="1"/>
    <col min="10" max="10" width="16.140625" style="157" bestFit="1" customWidth="1"/>
    <col min="11" max="11" width="14.140625" style="157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8" width="9.140625" style="157"/>
    <col min="19" max="19" width="11.42578125" style="157" customWidth="1"/>
    <col min="20" max="20" width="12.5703125" style="157" customWidth="1"/>
    <col min="21" max="21" width="6.42578125" style="157" customWidth="1"/>
    <col min="22" max="22" width="13.42578125" style="157" customWidth="1"/>
    <col min="23" max="23" width="12.42578125" style="157" customWidth="1"/>
    <col min="24" max="16384" width="9.140625" style="157"/>
  </cols>
  <sheetData>
    <row r="1" spans="1:19" ht="13.5" thickBot="1" x14ac:dyDescent="0.25">
      <c r="A1" s="588"/>
      <c r="B1" s="589"/>
      <c r="C1" s="1048">
        <f>'Estimate Summary'!C1:H1</f>
        <v>0</v>
      </c>
      <c r="D1" s="1048"/>
      <c r="E1" s="1048"/>
      <c r="F1" s="1048"/>
      <c r="G1" s="1048"/>
      <c r="H1" s="1048"/>
      <c r="I1" s="1048"/>
      <c r="J1" s="1048"/>
      <c r="K1" s="1049"/>
    </row>
    <row r="2" spans="1:19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9" ht="13.5" thickBot="1" x14ac:dyDescent="0.25">
      <c r="A3" s="982"/>
      <c r="B3" s="983"/>
      <c r="C3" s="516"/>
      <c r="D3" s="993"/>
      <c r="E3" s="993"/>
      <c r="F3" s="993"/>
      <c r="G3" s="590"/>
      <c r="H3" s="334"/>
      <c r="I3" s="591"/>
      <c r="J3" s="591"/>
      <c r="K3" s="592"/>
      <c r="L3" s="1046"/>
      <c r="M3" s="1047"/>
      <c r="N3" s="994"/>
      <c r="O3" s="994"/>
      <c r="P3" s="946"/>
    </row>
    <row r="4" spans="1:19" ht="13.5" thickBot="1" x14ac:dyDescent="0.25">
      <c r="A4" s="982"/>
      <c r="B4" s="983"/>
      <c r="C4" s="516"/>
      <c r="D4" s="993"/>
      <c r="E4" s="993"/>
      <c r="F4" s="993"/>
      <c r="G4" s="593"/>
      <c r="H4" s="593"/>
      <c r="I4" s="330"/>
      <c r="J4" s="331"/>
      <c r="K4" s="332"/>
      <c r="L4" s="1046"/>
      <c r="M4" s="1047"/>
      <c r="N4" s="994"/>
      <c r="O4" s="994"/>
      <c r="P4" s="946"/>
    </row>
    <row r="5" spans="1:19" ht="13.5" thickBot="1" x14ac:dyDescent="0.25">
      <c r="A5" s="594"/>
      <c r="B5" s="595"/>
      <c r="C5" s="516"/>
      <c r="D5" s="342"/>
      <c r="E5" s="343"/>
      <c r="F5" s="593"/>
      <c r="G5" s="1050" t="s">
        <v>7</v>
      </c>
      <c r="H5" s="1050"/>
      <c r="I5" s="1050"/>
      <c r="J5" s="1051" t="s">
        <v>71</v>
      </c>
      <c r="K5" s="1052"/>
      <c r="L5" s="1046"/>
      <c r="M5" s="1047"/>
      <c r="N5" s="994"/>
      <c r="O5" s="994"/>
      <c r="P5" s="946"/>
    </row>
    <row r="6" spans="1:19" ht="13.5" thickBot="1" x14ac:dyDescent="0.25">
      <c r="A6" s="594"/>
      <c r="B6" s="595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1050"/>
      <c r="H6" s="1050"/>
      <c r="I6" s="1050"/>
      <c r="J6" s="347">
        <f>'1'!J6</f>
        <v>13</v>
      </c>
      <c r="K6" s="332" t="s">
        <v>72</v>
      </c>
      <c r="L6" s="1046"/>
      <c r="M6" s="1047"/>
      <c r="N6" s="994"/>
      <c r="O6" s="994"/>
      <c r="P6" s="946"/>
    </row>
    <row r="7" spans="1:19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9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96"/>
      <c r="M8" s="597"/>
      <c r="N8" s="596"/>
      <c r="O8" s="598"/>
      <c r="P8" s="598"/>
    </row>
    <row r="9" spans="1:19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1019" t="s">
        <v>780</v>
      </c>
      <c r="M9" s="1021" t="s">
        <v>781</v>
      </c>
      <c r="N9" s="1023" t="s">
        <v>782</v>
      </c>
      <c r="O9" s="1025"/>
      <c r="P9" s="1027"/>
      <c r="Q9" s="1017"/>
      <c r="S9" s="583"/>
    </row>
    <row r="10" spans="1:19" ht="13.5" thickBot="1" x14ac:dyDescent="0.25">
      <c r="A10" s="599" t="s">
        <v>723</v>
      </c>
      <c r="B10" s="600" t="s">
        <v>903</v>
      </c>
      <c r="C10" s="399" t="s">
        <v>19</v>
      </c>
      <c r="D10" s="399" t="s">
        <v>33</v>
      </c>
      <c r="E10" s="400" t="s">
        <v>35</v>
      </c>
      <c r="F10" s="401" t="s">
        <v>30</v>
      </c>
      <c r="G10" s="535" t="s">
        <v>14</v>
      </c>
      <c r="H10" s="400" t="s">
        <v>35</v>
      </c>
      <c r="I10" s="401" t="s">
        <v>30</v>
      </c>
      <c r="J10" s="366" t="s">
        <v>659</v>
      </c>
      <c r="K10" s="536" t="s">
        <v>38</v>
      </c>
      <c r="L10" s="1020"/>
      <c r="M10" s="1022"/>
      <c r="N10" s="1024"/>
      <c r="O10" s="1026"/>
      <c r="P10" s="1028"/>
      <c r="Q10" s="1018"/>
    </row>
    <row r="11" spans="1:19" x14ac:dyDescent="0.2">
      <c r="A11" s="372"/>
      <c r="B11" s="5"/>
      <c r="C11" s="373"/>
      <c r="D11" s="374"/>
      <c r="E11" s="255"/>
      <c r="F11" s="375"/>
      <c r="G11" s="531"/>
      <c r="H11" s="377">
        <v>0</v>
      </c>
      <c r="I11" s="375">
        <f t="shared" ref="I11:I17" si="0">G11*H11</f>
        <v>0</v>
      </c>
      <c r="J11" s="378"/>
      <c r="K11" s="532">
        <f t="shared" ref="K11:K17" si="1">F11+I11+J11</f>
        <v>0</v>
      </c>
      <c r="L11" s="380"/>
      <c r="M11" s="381"/>
      <c r="N11" s="382"/>
      <c r="O11" s="383"/>
      <c r="P11" s="384"/>
      <c r="Q11" s="385"/>
    </row>
    <row r="12" spans="1:19" x14ac:dyDescent="0.2">
      <c r="A12" s="372"/>
      <c r="B12" s="5"/>
      <c r="C12" s="373"/>
      <c r="D12" s="374"/>
      <c r="E12" s="255"/>
      <c r="F12" s="375"/>
      <c r="G12" s="531">
        <v>20</v>
      </c>
      <c r="H12" s="377">
        <v>65</v>
      </c>
      <c r="I12" s="375">
        <f t="shared" si="0"/>
        <v>1300</v>
      </c>
      <c r="J12" s="378"/>
      <c r="K12" s="532">
        <f t="shared" si="1"/>
        <v>1300</v>
      </c>
      <c r="L12" s="380"/>
      <c r="M12" s="381"/>
      <c r="N12" s="382"/>
      <c r="O12" s="383"/>
      <c r="P12" s="384"/>
      <c r="Q12" s="385"/>
    </row>
    <row r="13" spans="1:19" x14ac:dyDescent="0.2">
      <c r="A13" s="372"/>
      <c r="B13" s="5"/>
      <c r="C13" s="373"/>
      <c r="D13" s="374"/>
      <c r="E13" s="255"/>
      <c r="F13" s="375"/>
      <c r="G13" s="531"/>
      <c r="H13" s="377">
        <v>0</v>
      </c>
      <c r="I13" s="375">
        <f t="shared" si="0"/>
        <v>0</v>
      </c>
      <c r="J13" s="378"/>
      <c r="K13" s="532">
        <f t="shared" si="1"/>
        <v>0</v>
      </c>
      <c r="L13" s="380"/>
      <c r="M13" s="381"/>
      <c r="N13" s="382"/>
      <c r="O13" s="383"/>
      <c r="P13" s="384"/>
      <c r="Q13" s="385"/>
    </row>
    <row r="14" spans="1:19" x14ac:dyDescent="0.2">
      <c r="A14" s="372"/>
      <c r="B14" s="5"/>
      <c r="C14" s="373"/>
      <c r="D14" s="374"/>
      <c r="E14" s="255"/>
      <c r="F14" s="375"/>
      <c r="G14" s="531"/>
      <c r="H14" s="377">
        <v>0</v>
      </c>
      <c r="I14" s="375">
        <f t="shared" si="0"/>
        <v>0</v>
      </c>
      <c r="J14" s="378"/>
      <c r="K14" s="532">
        <f t="shared" si="1"/>
        <v>0</v>
      </c>
      <c r="L14" s="380"/>
      <c r="M14" s="381"/>
      <c r="N14" s="382"/>
      <c r="O14" s="383"/>
      <c r="P14" s="384"/>
      <c r="Q14" s="385"/>
    </row>
    <row r="15" spans="1:19" x14ac:dyDescent="0.2">
      <c r="A15" s="372"/>
      <c r="B15" s="5"/>
      <c r="C15" s="373"/>
      <c r="D15" s="374"/>
      <c r="E15" s="255"/>
      <c r="F15" s="375"/>
      <c r="G15" s="531"/>
      <c r="H15" s="377">
        <v>0</v>
      </c>
      <c r="I15" s="375">
        <f t="shared" si="0"/>
        <v>0</v>
      </c>
      <c r="J15" s="378"/>
      <c r="K15" s="532">
        <f t="shared" si="1"/>
        <v>0</v>
      </c>
      <c r="L15" s="380"/>
      <c r="M15" s="381"/>
      <c r="N15" s="382"/>
      <c r="O15" s="383"/>
      <c r="P15" s="384"/>
      <c r="Q15" s="385"/>
    </row>
    <row r="16" spans="1:19" x14ac:dyDescent="0.2">
      <c r="A16" s="372"/>
      <c r="B16" s="5"/>
      <c r="C16" s="373"/>
      <c r="D16" s="374"/>
      <c r="E16" s="255"/>
      <c r="F16" s="375"/>
      <c r="G16" s="531"/>
      <c r="H16" s="377">
        <v>0</v>
      </c>
      <c r="I16" s="375">
        <f t="shared" si="0"/>
        <v>0</v>
      </c>
      <c r="J16" s="378"/>
      <c r="K16" s="532">
        <f t="shared" si="1"/>
        <v>0</v>
      </c>
      <c r="L16" s="380"/>
      <c r="M16" s="381"/>
      <c r="N16" s="382"/>
      <c r="O16" s="383"/>
      <c r="P16" s="384"/>
      <c r="Q16" s="385"/>
    </row>
    <row r="17" spans="1:22" x14ac:dyDescent="0.2">
      <c r="A17" s="372"/>
      <c r="B17" s="5"/>
      <c r="C17" s="373"/>
      <c r="D17" s="374"/>
      <c r="E17" s="255"/>
      <c r="F17" s="375"/>
      <c r="G17" s="531"/>
      <c r="H17" s="377">
        <v>0</v>
      </c>
      <c r="I17" s="375">
        <f t="shared" si="0"/>
        <v>0</v>
      </c>
      <c r="J17" s="378"/>
      <c r="K17" s="532">
        <f t="shared" si="1"/>
        <v>0</v>
      </c>
      <c r="L17" s="380"/>
      <c r="M17" s="381"/>
      <c r="N17" s="382"/>
      <c r="O17" s="383"/>
      <c r="P17" s="384"/>
      <c r="Q17" s="385"/>
    </row>
    <row r="18" spans="1:22" ht="13.5" thickBot="1" x14ac:dyDescent="0.25">
      <c r="A18" s="372"/>
      <c r="B18" s="5"/>
      <c r="C18" s="390"/>
      <c r="D18" s="374"/>
      <c r="E18" s="255"/>
      <c r="F18" s="375"/>
      <c r="G18" s="531"/>
      <c r="H18" s="377"/>
      <c r="I18" s="375"/>
      <c r="J18" s="378"/>
      <c r="K18" s="537"/>
      <c r="L18" s="380"/>
      <c r="M18" s="381"/>
      <c r="N18" s="382"/>
      <c r="O18" s="383"/>
      <c r="P18" s="384"/>
      <c r="Q18" s="385"/>
    </row>
    <row r="19" spans="1:22" ht="14.25" thickTop="1" thickBot="1" x14ac:dyDescent="0.25">
      <c r="A19" s="389"/>
      <c r="B19" s="5"/>
      <c r="C19" s="390"/>
      <c r="D19" s="374"/>
      <c r="E19" s="255"/>
      <c r="F19" s="375"/>
      <c r="G19" s="531"/>
      <c r="H19" s="377"/>
      <c r="I19" s="375"/>
      <c r="J19" s="391" t="s">
        <v>30</v>
      </c>
      <c r="K19" s="534">
        <f>SUM(K11:K18)</f>
        <v>1300</v>
      </c>
      <c r="L19" s="393"/>
      <c r="M19" s="394"/>
      <c r="N19" s="395"/>
      <c r="O19" s="383"/>
      <c r="P19" s="384"/>
      <c r="Q19" s="385"/>
    </row>
    <row r="20" spans="1:22" ht="13.5" thickBot="1" x14ac:dyDescent="0.25">
      <c r="A20" s="599" t="s">
        <v>192</v>
      </c>
      <c r="B20" s="600" t="s">
        <v>902</v>
      </c>
      <c r="C20" s="362" t="s">
        <v>19</v>
      </c>
      <c r="D20" s="362" t="s">
        <v>33</v>
      </c>
      <c r="E20" s="363" t="s">
        <v>35</v>
      </c>
      <c r="F20" s="364" t="s">
        <v>30</v>
      </c>
      <c r="G20" s="528"/>
      <c r="H20" s="363"/>
      <c r="I20" s="364"/>
      <c r="J20" s="366" t="s">
        <v>659</v>
      </c>
      <c r="K20" s="529" t="s">
        <v>38</v>
      </c>
      <c r="L20" s="404"/>
      <c r="M20" s="405"/>
      <c r="N20" s="406"/>
      <c r="O20" s="383"/>
      <c r="P20" s="384"/>
      <c r="Q20" s="385"/>
      <c r="V20" s="257"/>
    </row>
    <row r="21" spans="1:22" x14ac:dyDescent="0.2">
      <c r="A21" s="372"/>
      <c r="B21" s="5"/>
      <c r="C21" s="373"/>
      <c r="D21" s="374"/>
      <c r="E21" s="255"/>
      <c r="F21" s="375"/>
      <c r="G21" s="531"/>
      <c r="H21" s="377"/>
      <c r="I21" s="375"/>
      <c r="J21" s="378"/>
      <c r="K21" s="532"/>
      <c r="L21" s="380"/>
      <c r="M21" s="381"/>
      <c r="N21" s="382"/>
      <c r="O21" s="383"/>
      <c r="P21" s="384"/>
      <c r="Q21" s="385"/>
    </row>
    <row r="22" spans="1:22" x14ac:dyDescent="0.2">
      <c r="A22" s="853"/>
      <c r="B22" s="848" t="s">
        <v>1160</v>
      </c>
      <c r="C22" s="839">
        <v>32</v>
      </c>
      <c r="D22" s="840" t="s">
        <v>750</v>
      </c>
      <c r="E22" s="841">
        <v>0.61</v>
      </c>
      <c r="F22" s="842">
        <f t="shared" ref="F22:F33" si="2">C22*E22</f>
        <v>19.52</v>
      </c>
      <c r="G22" s="849"/>
      <c r="H22" s="844"/>
      <c r="I22" s="842"/>
      <c r="J22" s="845"/>
      <c r="K22" s="850">
        <f t="shared" ref="K22:K33" si="3">F22+I22+J22</f>
        <v>19.52</v>
      </c>
      <c r="L22" s="380"/>
      <c r="M22" s="381"/>
      <c r="N22" s="382"/>
      <c r="O22" s="383"/>
      <c r="P22" s="384"/>
      <c r="Q22" s="385"/>
    </row>
    <row r="23" spans="1:22" x14ac:dyDescent="0.2">
      <c r="A23" s="372"/>
      <c r="B23" s="5" t="s">
        <v>904</v>
      </c>
      <c r="C23" s="373"/>
      <c r="D23" s="374" t="s">
        <v>750</v>
      </c>
      <c r="E23" s="255">
        <v>0.81</v>
      </c>
      <c r="F23" s="375">
        <f t="shared" si="2"/>
        <v>0</v>
      </c>
      <c r="G23" s="531"/>
      <c r="H23" s="377"/>
      <c r="I23" s="375"/>
      <c r="J23" s="378"/>
      <c r="K23" s="532">
        <f t="shared" si="3"/>
        <v>0</v>
      </c>
      <c r="L23" s="380"/>
      <c r="M23" s="381"/>
      <c r="N23" s="382"/>
      <c r="O23" s="383"/>
      <c r="P23" s="384"/>
      <c r="Q23" s="385"/>
    </row>
    <row r="24" spans="1:22" x14ac:dyDescent="0.2">
      <c r="A24" s="853"/>
      <c r="B24" s="848" t="s">
        <v>1161</v>
      </c>
      <c r="C24" s="839">
        <v>15</v>
      </c>
      <c r="D24" s="840" t="s">
        <v>750</v>
      </c>
      <c r="E24" s="841">
        <v>1.24</v>
      </c>
      <c r="F24" s="842">
        <f t="shared" si="2"/>
        <v>18.600000000000001</v>
      </c>
      <c r="G24" s="849"/>
      <c r="H24" s="844"/>
      <c r="I24" s="842"/>
      <c r="J24" s="845"/>
      <c r="K24" s="850">
        <f t="shared" si="3"/>
        <v>18.600000000000001</v>
      </c>
      <c r="L24" s="380"/>
      <c r="M24" s="381"/>
      <c r="N24" s="382"/>
      <c r="O24" s="383"/>
      <c r="P24" s="384"/>
      <c r="Q24" s="385"/>
      <c r="V24" s="257"/>
    </row>
    <row r="25" spans="1:22" x14ac:dyDescent="0.2">
      <c r="A25" s="372"/>
      <c r="B25" s="5" t="s">
        <v>905</v>
      </c>
      <c r="C25" s="373"/>
      <c r="D25" s="374" t="s">
        <v>750</v>
      </c>
      <c r="E25" s="255">
        <v>1.61</v>
      </c>
      <c r="F25" s="375">
        <f t="shared" si="2"/>
        <v>0</v>
      </c>
      <c r="G25" s="531"/>
      <c r="H25" s="377"/>
      <c r="I25" s="375"/>
      <c r="J25" s="378"/>
      <c r="K25" s="532">
        <f t="shared" si="3"/>
        <v>0</v>
      </c>
      <c r="L25" s="157"/>
      <c r="M25" s="471"/>
      <c r="O25" s="383"/>
      <c r="P25" s="384"/>
      <c r="Q25" s="385"/>
      <c r="V25" s="257"/>
    </row>
    <row r="26" spans="1:22" x14ac:dyDescent="0.2">
      <c r="A26" s="601"/>
      <c r="B26" s="5" t="s">
        <v>906</v>
      </c>
      <c r="C26" s="373"/>
      <c r="D26" s="374" t="s">
        <v>750</v>
      </c>
      <c r="E26" s="255">
        <v>0.25</v>
      </c>
      <c r="F26" s="375">
        <f t="shared" si="2"/>
        <v>0</v>
      </c>
      <c r="G26" s="531"/>
      <c r="H26" s="377"/>
      <c r="I26" s="375"/>
      <c r="J26" s="378"/>
      <c r="K26" s="532">
        <f t="shared" si="3"/>
        <v>0</v>
      </c>
      <c r="L26" s="157"/>
      <c r="M26" s="471"/>
      <c r="O26" s="383"/>
      <c r="P26" s="384"/>
      <c r="Q26" s="385"/>
      <c r="V26" s="257"/>
    </row>
    <row r="27" spans="1:22" x14ac:dyDescent="0.2">
      <c r="A27" s="601"/>
      <c r="B27" s="5" t="s">
        <v>907</v>
      </c>
      <c r="C27" s="373"/>
      <c r="D27" s="374" t="s">
        <v>750</v>
      </c>
      <c r="E27" s="255">
        <v>0.37</v>
      </c>
      <c r="F27" s="375">
        <f t="shared" si="2"/>
        <v>0</v>
      </c>
      <c r="G27" s="531"/>
      <c r="H27" s="377"/>
      <c r="I27" s="375"/>
      <c r="J27" s="378"/>
      <c r="K27" s="532">
        <f t="shared" si="3"/>
        <v>0</v>
      </c>
      <c r="L27" s="380"/>
      <c r="M27" s="381"/>
      <c r="N27" s="382"/>
      <c r="O27" s="383"/>
      <c r="P27" s="384"/>
      <c r="Q27" s="385"/>
      <c r="V27" s="257"/>
    </row>
    <row r="28" spans="1:22" x14ac:dyDescent="0.2">
      <c r="A28" s="601"/>
      <c r="B28" s="6" t="s">
        <v>908</v>
      </c>
      <c r="C28" s="373"/>
      <c r="D28" s="374"/>
      <c r="E28" s="255"/>
      <c r="F28" s="375"/>
      <c r="G28" s="531"/>
      <c r="H28" s="377"/>
      <c r="I28" s="375"/>
      <c r="J28" s="378"/>
      <c r="K28" s="532">
        <f t="shared" si="3"/>
        <v>0</v>
      </c>
      <c r="L28" s="380"/>
      <c r="M28" s="381"/>
      <c r="N28" s="382"/>
      <c r="O28" s="383"/>
      <c r="P28" s="384"/>
      <c r="Q28" s="385"/>
      <c r="V28" s="257"/>
    </row>
    <row r="29" spans="1:22" x14ac:dyDescent="0.2">
      <c r="A29" s="847"/>
      <c r="B29" s="848" t="s">
        <v>909</v>
      </c>
      <c r="C29" s="839"/>
      <c r="D29" s="840" t="s">
        <v>910</v>
      </c>
      <c r="E29" s="841">
        <v>66.98</v>
      </c>
      <c r="F29" s="842">
        <f t="shared" si="2"/>
        <v>0</v>
      </c>
      <c r="G29" s="849"/>
      <c r="H29" s="844"/>
      <c r="I29" s="842"/>
      <c r="J29" s="845"/>
      <c r="K29" s="850">
        <f t="shared" si="3"/>
        <v>0</v>
      </c>
      <c r="L29" s="380"/>
      <c r="M29" s="381"/>
      <c r="N29" s="382"/>
      <c r="O29" s="383"/>
      <c r="P29" s="384"/>
      <c r="Q29" s="385"/>
      <c r="V29" s="257"/>
    </row>
    <row r="30" spans="1:22" x14ac:dyDescent="0.2">
      <c r="A30" s="847"/>
      <c r="B30" s="848" t="s">
        <v>911</v>
      </c>
      <c r="C30" s="839"/>
      <c r="D30" s="840" t="s">
        <v>910</v>
      </c>
      <c r="E30" s="841">
        <v>43.69</v>
      </c>
      <c r="F30" s="842">
        <f t="shared" si="2"/>
        <v>0</v>
      </c>
      <c r="G30" s="849"/>
      <c r="H30" s="844"/>
      <c r="I30" s="842"/>
      <c r="J30" s="845"/>
      <c r="K30" s="850">
        <f t="shared" si="3"/>
        <v>0</v>
      </c>
      <c r="L30" s="380"/>
      <c r="M30" s="381"/>
      <c r="N30" s="382"/>
      <c r="O30" s="383"/>
      <c r="P30" s="384"/>
      <c r="Q30" s="385"/>
      <c r="V30" s="257"/>
    </row>
    <row r="31" spans="1:22" x14ac:dyDescent="0.2">
      <c r="A31" s="847"/>
      <c r="B31" s="848" t="s">
        <v>912</v>
      </c>
      <c r="C31" s="839">
        <v>16</v>
      </c>
      <c r="D31" s="840" t="s">
        <v>910</v>
      </c>
      <c r="E31" s="841">
        <v>87.98</v>
      </c>
      <c r="F31" s="842">
        <f t="shared" si="2"/>
        <v>1407.68</v>
      </c>
      <c r="G31" s="849"/>
      <c r="H31" s="844"/>
      <c r="I31" s="842"/>
      <c r="J31" s="845"/>
      <c r="K31" s="850">
        <f t="shared" si="3"/>
        <v>1407.68</v>
      </c>
      <c r="L31" s="380"/>
      <c r="M31" s="381"/>
      <c r="N31" s="382"/>
      <c r="O31" s="383"/>
      <c r="P31" s="384"/>
      <c r="Q31" s="385"/>
      <c r="V31" s="257"/>
    </row>
    <row r="32" spans="1:22" x14ac:dyDescent="0.2">
      <c r="A32" s="601"/>
      <c r="B32" s="5" t="s">
        <v>1155</v>
      </c>
      <c r="C32" s="373">
        <v>1</v>
      </c>
      <c r="D32" s="374" t="s">
        <v>21</v>
      </c>
      <c r="E32" s="255">
        <v>550</v>
      </c>
      <c r="F32" s="375">
        <f t="shared" ref="F32" si="4">C32*E32</f>
        <v>550</v>
      </c>
      <c r="G32" s="531"/>
      <c r="H32" s="377"/>
      <c r="I32" s="375"/>
      <c r="J32" s="378"/>
      <c r="K32" s="532">
        <f t="shared" ref="K32" si="5">F32+I32+J32</f>
        <v>550</v>
      </c>
      <c r="L32" s="380"/>
      <c r="M32" s="381"/>
      <c r="N32" s="382"/>
      <c r="O32" s="383"/>
      <c r="P32" s="384"/>
      <c r="Q32" s="385"/>
      <c r="V32" s="257"/>
    </row>
    <row r="33" spans="1:23" x14ac:dyDescent="0.2">
      <c r="A33" s="601"/>
      <c r="B33" s="5" t="s">
        <v>913</v>
      </c>
      <c r="C33" s="373"/>
      <c r="D33" s="374" t="s">
        <v>910</v>
      </c>
      <c r="E33" s="255">
        <v>22.74</v>
      </c>
      <c r="F33" s="375">
        <f t="shared" si="2"/>
        <v>0</v>
      </c>
      <c r="G33" s="531"/>
      <c r="H33" s="377"/>
      <c r="I33" s="375"/>
      <c r="J33" s="378"/>
      <c r="K33" s="532">
        <f t="shared" si="3"/>
        <v>0</v>
      </c>
      <c r="L33" s="380"/>
      <c r="M33" s="381"/>
      <c r="N33" s="382"/>
      <c r="O33" s="383"/>
      <c r="P33" s="384"/>
      <c r="Q33" s="385"/>
      <c r="V33" s="322"/>
      <c r="W33" s="322"/>
    </row>
    <row r="34" spans="1:23" x14ac:dyDescent="0.2">
      <c r="A34" s="601"/>
      <c r="B34" s="5"/>
      <c r="C34" s="373"/>
      <c r="D34" s="374"/>
      <c r="E34" s="255"/>
      <c r="F34" s="375"/>
      <c r="G34" s="531"/>
      <c r="H34" s="377"/>
      <c r="I34" s="375"/>
      <c r="J34" s="378"/>
      <c r="K34" s="532"/>
      <c r="L34" s="380"/>
      <c r="M34" s="381"/>
      <c r="N34" s="382"/>
      <c r="O34" s="383"/>
      <c r="P34" s="384"/>
      <c r="Q34" s="385"/>
      <c r="V34" s="322"/>
      <c r="W34" s="322"/>
    </row>
    <row r="35" spans="1:23" ht="13.5" thickBot="1" x14ac:dyDescent="0.25">
      <c r="A35" s="389"/>
      <c r="B35" s="7"/>
      <c r="C35" s="390"/>
      <c r="D35" s="374"/>
      <c r="E35" s="255"/>
      <c r="F35" s="375"/>
      <c r="G35" s="531"/>
      <c r="H35" s="377"/>
      <c r="I35" s="375"/>
      <c r="J35" s="378"/>
      <c r="K35" s="532"/>
      <c r="L35" s="380"/>
      <c r="M35" s="381"/>
      <c r="N35" s="382"/>
      <c r="O35" s="383"/>
      <c r="P35" s="384"/>
      <c r="Q35" s="385"/>
    </row>
    <row r="36" spans="1:23" ht="13.5" thickTop="1" x14ac:dyDescent="0.2">
      <c r="A36" s="389"/>
      <c r="B36" s="7"/>
      <c r="C36" s="390"/>
      <c r="D36" s="374"/>
      <c r="E36" s="255"/>
      <c r="F36" s="375"/>
      <c r="G36" s="531"/>
      <c r="H36" s="377"/>
      <c r="I36" s="375"/>
      <c r="J36" s="391" t="s">
        <v>30</v>
      </c>
      <c r="K36" s="534">
        <f>SUM(K21:K35)</f>
        <v>1995.8000000000002</v>
      </c>
      <c r="L36" s="380"/>
      <c r="M36" s="381"/>
      <c r="N36" s="382"/>
      <c r="O36" s="383"/>
      <c r="P36" s="384"/>
      <c r="Q36" s="385"/>
    </row>
    <row r="37" spans="1:23" ht="13.5" thickBot="1" x14ac:dyDescent="0.25">
      <c r="A37" s="355" t="s">
        <v>0</v>
      </c>
      <c r="B37" s="356" t="s">
        <v>1</v>
      </c>
      <c r="C37" s="948" t="s">
        <v>656</v>
      </c>
      <c r="D37" s="948"/>
      <c r="E37" s="948"/>
      <c r="F37" s="948"/>
      <c r="G37" s="948" t="s">
        <v>34</v>
      </c>
      <c r="H37" s="948"/>
      <c r="I37" s="948"/>
      <c r="J37" s="357"/>
      <c r="K37" s="525"/>
      <c r="L37" s="393"/>
      <c r="M37" s="394"/>
      <c r="N37" s="395"/>
      <c r="O37" s="383"/>
      <c r="P37" s="384"/>
      <c r="Q37" s="385"/>
      <c r="S37" s="583"/>
    </row>
    <row r="38" spans="1:23" ht="13.5" thickBot="1" x14ac:dyDescent="0.25">
      <c r="A38" s="599" t="s">
        <v>193</v>
      </c>
      <c r="B38" s="600" t="s">
        <v>47</v>
      </c>
      <c r="C38" s="399" t="s">
        <v>19</v>
      </c>
      <c r="D38" s="399" t="s">
        <v>33</v>
      </c>
      <c r="E38" s="400" t="s">
        <v>35</v>
      </c>
      <c r="F38" s="401" t="s">
        <v>30</v>
      </c>
      <c r="G38" s="535" t="s">
        <v>14</v>
      </c>
      <c r="H38" s="400" t="s">
        <v>35</v>
      </c>
      <c r="I38" s="401" t="s">
        <v>30</v>
      </c>
      <c r="J38" s="366" t="s">
        <v>659</v>
      </c>
      <c r="K38" s="536" t="s">
        <v>38</v>
      </c>
      <c r="L38" s="404"/>
      <c r="M38" s="410"/>
      <c r="N38" s="411"/>
      <c r="O38" s="383"/>
      <c r="P38" s="384"/>
      <c r="Q38" s="385"/>
    </row>
    <row r="39" spans="1:23" ht="25.5" x14ac:dyDescent="0.2">
      <c r="A39" s="853"/>
      <c r="B39" s="848" t="s">
        <v>1069</v>
      </c>
      <c r="C39" s="839">
        <v>23</v>
      </c>
      <c r="D39" s="840" t="s">
        <v>1026</v>
      </c>
      <c r="E39" s="841">
        <v>400</v>
      </c>
      <c r="F39" s="842">
        <v>0</v>
      </c>
      <c r="G39" s="849"/>
      <c r="H39" s="844">
        <v>0</v>
      </c>
      <c r="I39" s="842">
        <f t="shared" ref="I39:I49" si="6">G39*H39</f>
        <v>0</v>
      </c>
      <c r="J39" s="845">
        <f>M39</f>
        <v>180875</v>
      </c>
      <c r="K39" s="850">
        <f t="shared" ref="K39:K49" si="7">F39+I39+J39</f>
        <v>180875</v>
      </c>
      <c r="L39" s="159" t="s">
        <v>1106</v>
      </c>
      <c r="M39" s="278">
        <v>180875</v>
      </c>
      <c r="N39" s="890" t="s">
        <v>1150</v>
      </c>
      <c r="O39" s="412"/>
      <c r="P39" s="413"/>
      <c r="Q39" s="385"/>
    </row>
    <row r="40" spans="1:23" x14ac:dyDescent="0.2">
      <c r="A40" s="372"/>
      <c r="B40" s="5" t="s">
        <v>1070</v>
      </c>
      <c r="C40" s="373">
        <f>15+14+14</f>
        <v>43</v>
      </c>
      <c r="D40" s="374" t="s">
        <v>1026</v>
      </c>
      <c r="E40" s="255">
        <v>400</v>
      </c>
      <c r="F40" s="375">
        <v>0</v>
      </c>
      <c r="G40" s="531"/>
      <c r="H40" s="377">
        <v>0</v>
      </c>
      <c r="I40" s="375">
        <f t="shared" si="6"/>
        <v>0</v>
      </c>
      <c r="J40" s="378"/>
      <c r="K40" s="532">
        <f t="shared" si="7"/>
        <v>0</v>
      </c>
      <c r="L40" s="159" t="s">
        <v>1106</v>
      </c>
      <c r="M40" s="278">
        <v>164700</v>
      </c>
      <c r="N40" s="157" t="s">
        <v>1153</v>
      </c>
      <c r="O40" s="412"/>
      <c r="P40" s="413"/>
      <c r="Q40" s="385"/>
    </row>
    <row r="41" spans="1:23" x14ac:dyDescent="0.2">
      <c r="A41" s="372"/>
      <c r="B41" s="5" t="s">
        <v>1072</v>
      </c>
      <c r="C41" s="373">
        <v>20</v>
      </c>
      <c r="D41" s="374" t="s">
        <v>1026</v>
      </c>
      <c r="E41" s="255">
        <v>400</v>
      </c>
      <c r="F41" s="375">
        <v>0</v>
      </c>
      <c r="G41" s="531"/>
      <c r="H41" s="377">
        <v>0</v>
      </c>
      <c r="I41" s="375">
        <f t="shared" si="6"/>
        <v>0</v>
      </c>
      <c r="J41" s="378"/>
      <c r="K41" s="532">
        <f t="shared" si="7"/>
        <v>0</v>
      </c>
      <c r="L41" s="159" t="s">
        <v>1107</v>
      </c>
      <c r="M41" s="278">
        <v>315000</v>
      </c>
      <c r="N41" s="423"/>
      <c r="O41" s="412"/>
      <c r="P41" s="413"/>
      <c r="Q41" s="385"/>
    </row>
    <row r="42" spans="1:23" x14ac:dyDescent="0.2">
      <c r="A42" s="372"/>
      <c r="B42" s="5" t="s">
        <v>1071</v>
      </c>
      <c r="C42" s="373">
        <v>8</v>
      </c>
      <c r="D42" s="374" t="s">
        <v>1026</v>
      </c>
      <c r="E42" s="255">
        <v>400</v>
      </c>
      <c r="F42" s="375">
        <v>0</v>
      </c>
      <c r="G42" s="531"/>
      <c r="H42" s="377">
        <v>0</v>
      </c>
      <c r="I42" s="375">
        <f t="shared" si="6"/>
        <v>0</v>
      </c>
      <c r="J42" s="378"/>
      <c r="K42" s="532">
        <f t="shared" si="7"/>
        <v>0</v>
      </c>
      <c r="L42" s="159" t="s">
        <v>1107</v>
      </c>
      <c r="M42" s="278">
        <v>254000</v>
      </c>
      <c r="N42" s="423" t="s">
        <v>1154</v>
      </c>
      <c r="O42" s="412"/>
      <c r="P42" s="413"/>
      <c r="Q42" s="385"/>
    </row>
    <row r="43" spans="1:23" x14ac:dyDescent="0.2">
      <c r="A43" s="372"/>
      <c r="B43" s="5" t="s">
        <v>1073</v>
      </c>
      <c r="C43" s="373">
        <v>17</v>
      </c>
      <c r="D43" s="374" t="s">
        <v>1026</v>
      </c>
      <c r="E43" s="255">
        <v>400</v>
      </c>
      <c r="F43" s="375">
        <v>0</v>
      </c>
      <c r="G43" s="531"/>
      <c r="H43" s="377">
        <v>0</v>
      </c>
      <c r="I43" s="375">
        <f t="shared" si="6"/>
        <v>0</v>
      </c>
      <c r="J43" s="378"/>
      <c r="K43" s="532">
        <f t="shared" si="7"/>
        <v>0</v>
      </c>
      <c r="L43" s="380" t="s">
        <v>1108</v>
      </c>
      <c r="M43" s="257"/>
      <c r="N43" s="423" t="s">
        <v>1162</v>
      </c>
      <c r="O43" s="412"/>
      <c r="P43" s="413"/>
      <c r="Q43" s="385"/>
    </row>
    <row r="44" spans="1:23" x14ac:dyDescent="0.2">
      <c r="A44" s="372"/>
      <c r="B44" s="5" t="s">
        <v>1074</v>
      </c>
      <c r="C44" s="373">
        <v>14</v>
      </c>
      <c r="D44" s="374" t="s">
        <v>1026</v>
      </c>
      <c r="E44" s="255">
        <v>400</v>
      </c>
      <c r="F44" s="375">
        <v>0</v>
      </c>
      <c r="G44" s="531"/>
      <c r="H44" s="377">
        <v>0</v>
      </c>
      <c r="I44" s="375">
        <f t="shared" si="6"/>
        <v>0</v>
      </c>
      <c r="J44" s="378"/>
      <c r="K44" s="532">
        <f t="shared" si="7"/>
        <v>0</v>
      </c>
      <c r="L44" s="380"/>
      <c r="M44" s="257"/>
      <c r="N44" s="423"/>
      <c r="O44" s="412"/>
      <c r="P44" s="413"/>
      <c r="Q44" s="385"/>
    </row>
    <row r="45" spans="1:23" x14ac:dyDescent="0.2">
      <c r="A45" s="372"/>
      <c r="B45" s="5" t="s">
        <v>1117</v>
      </c>
      <c r="C45" s="373">
        <f>13+15+13+12</f>
        <v>53</v>
      </c>
      <c r="D45" s="374" t="s">
        <v>1026</v>
      </c>
      <c r="E45" s="255">
        <v>400</v>
      </c>
      <c r="F45" s="375">
        <v>0</v>
      </c>
      <c r="G45" s="531"/>
      <c r="H45" s="377">
        <v>0</v>
      </c>
      <c r="I45" s="375">
        <f t="shared" ref="I45:I48" si="8">G45*H45</f>
        <v>0</v>
      </c>
      <c r="J45" s="378"/>
      <c r="K45" s="532">
        <f t="shared" ref="K45:K48" si="9">F45+I45+J45</f>
        <v>0</v>
      </c>
      <c r="L45" s="380"/>
      <c r="M45" s="257"/>
      <c r="N45" s="423"/>
      <c r="O45" s="412"/>
      <c r="P45" s="413"/>
      <c r="Q45" s="385"/>
    </row>
    <row r="46" spans="1:23" x14ac:dyDescent="0.2">
      <c r="A46" s="372"/>
      <c r="B46" s="5" t="s">
        <v>1118</v>
      </c>
      <c r="C46" s="373">
        <v>9</v>
      </c>
      <c r="D46" s="374" t="s">
        <v>1026</v>
      </c>
      <c r="E46" s="255">
        <v>400</v>
      </c>
      <c r="F46" s="375">
        <v>0</v>
      </c>
      <c r="G46" s="531"/>
      <c r="H46" s="377">
        <v>0</v>
      </c>
      <c r="I46" s="375">
        <f t="shared" si="8"/>
        <v>0</v>
      </c>
      <c r="J46" s="378"/>
      <c r="K46" s="532">
        <f t="shared" si="9"/>
        <v>0</v>
      </c>
      <c r="L46" s="380"/>
      <c r="M46" s="257"/>
      <c r="N46" s="423"/>
      <c r="O46" s="412"/>
      <c r="P46" s="413"/>
      <c r="Q46" s="385"/>
    </row>
    <row r="47" spans="1:23" x14ac:dyDescent="0.2">
      <c r="A47" s="372"/>
      <c r="B47" s="5" t="s">
        <v>1119</v>
      </c>
      <c r="C47" s="373">
        <v>3</v>
      </c>
      <c r="D47" s="374" t="s">
        <v>1026</v>
      </c>
      <c r="E47" s="255">
        <v>400</v>
      </c>
      <c r="F47" s="375">
        <v>0</v>
      </c>
      <c r="G47" s="531"/>
      <c r="H47" s="377">
        <v>0</v>
      </c>
      <c r="I47" s="375">
        <f t="shared" si="8"/>
        <v>0</v>
      </c>
      <c r="J47" s="378"/>
      <c r="K47" s="532">
        <f t="shared" si="9"/>
        <v>0</v>
      </c>
      <c r="L47" s="380"/>
      <c r="M47" s="257"/>
      <c r="N47" s="423"/>
      <c r="O47" s="412"/>
      <c r="P47" s="413"/>
      <c r="Q47" s="385"/>
    </row>
    <row r="48" spans="1:23" x14ac:dyDescent="0.2">
      <c r="A48" s="372"/>
      <c r="B48" s="5" t="s">
        <v>1074</v>
      </c>
      <c r="C48" s="373"/>
      <c r="D48" s="374" t="s">
        <v>1026</v>
      </c>
      <c r="E48" s="255">
        <v>0</v>
      </c>
      <c r="F48" s="375">
        <f t="shared" ref="F48" si="10">C48*E48</f>
        <v>0</v>
      </c>
      <c r="G48" s="531"/>
      <c r="H48" s="377">
        <v>0</v>
      </c>
      <c r="I48" s="375">
        <f t="shared" si="8"/>
        <v>0</v>
      </c>
      <c r="J48" s="378"/>
      <c r="K48" s="532">
        <f t="shared" si="9"/>
        <v>0</v>
      </c>
      <c r="L48" s="380"/>
      <c r="M48" s="257"/>
      <c r="N48" s="423"/>
      <c r="O48" s="412"/>
      <c r="P48" s="413"/>
      <c r="Q48" s="385"/>
    </row>
    <row r="49" spans="1:17" x14ac:dyDescent="0.2">
      <c r="A49" s="372"/>
      <c r="B49" s="5"/>
      <c r="C49" s="373"/>
      <c r="D49" s="374" t="s">
        <v>21</v>
      </c>
      <c r="E49" s="255">
        <v>0</v>
      </c>
      <c r="F49" s="375">
        <f t="shared" ref="F49" si="11">C49*E49</f>
        <v>0</v>
      </c>
      <c r="G49" s="531"/>
      <c r="H49" s="377">
        <v>0</v>
      </c>
      <c r="I49" s="375">
        <f t="shared" si="6"/>
        <v>0</v>
      </c>
      <c r="J49" s="378"/>
      <c r="K49" s="532">
        <f t="shared" si="7"/>
        <v>0</v>
      </c>
      <c r="L49" s="867" t="s">
        <v>1038</v>
      </c>
      <c r="M49" s="471">
        <v>128488.12</v>
      </c>
      <c r="N49" s="157" t="s">
        <v>1054</v>
      </c>
      <c r="O49" s="383"/>
      <c r="P49" s="384"/>
      <c r="Q49" s="385"/>
    </row>
    <row r="50" spans="1:17" ht="13.5" thickBot="1" x14ac:dyDescent="0.25">
      <c r="A50" s="372"/>
      <c r="B50" s="5"/>
      <c r="C50" s="390"/>
      <c r="D50" s="374"/>
      <c r="E50" s="255"/>
      <c r="F50" s="375"/>
      <c r="G50" s="531"/>
      <c r="H50" s="377"/>
      <c r="I50" s="375"/>
      <c r="J50" s="378"/>
      <c r="K50" s="537"/>
      <c r="L50" s="380" t="s">
        <v>1063</v>
      </c>
      <c r="M50" s="257">
        <v>45262</v>
      </c>
      <c r="N50" s="423" t="s">
        <v>1064</v>
      </c>
      <c r="O50" s="383"/>
      <c r="P50" s="384"/>
      <c r="Q50" s="385"/>
    </row>
    <row r="51" spans="1:17" ht="14.25" thickTop="1" thickBot="1" x14ac:dyDescent="0.25">
      <c r="A51" s="389"/>
      <c r="B51" s="5"/>
      <c r="C51" s="390"/>
      <c r="D51" s="374"/>
      <c r="E51" s="255"/>
      <c r="F51" s="375"/>
      <c r="G51" s="531"/>
      <c r="H51" s="377"/>
      <c r="I51" s="375"/>
      <c r="J51" s="391" t="s">
        <v>30</v>
      </c>
      <c r="K51" s="534">
        <f>SUM(K39:K50)</f>
        <v>180875</v>
      </c>
      <c r="L51" s="393"/>
      <c r="M51" s="357"/>
      <c r="N51" s="395"/>
      <c r="O51" s="383"/>
      <c r="P51" s="413"/>
      <c r="Q51" s="385"/>
    </row>
    <row r="52" spans="1:17" ht="13.5" thickBot="1" x14ac:dyDescent="0.25">
      <c r="A52" s="355" t="s">
        <v>0</v>
      </c>
      <c r="B52" s="356" t="s">
        <v>1</v>
      </c>
      <c r="C52" s="948" t="s">
        <v>656</v>
      </c>
      <c r="D52" s="948"/>
      <c r="E52" s="948"/>
      <c r="F52" s="948"/>
      <c r="G52" s="948" t="s">
        <v>34</v>
      </c>
      <c r="H52" s="948"/>
      <c r="I52" s="948"/>
      <c r="J52" s="357"/>
      <c r="K52" s="525"/>
      <c r="L52" s="404"/>
      <c r="M52" s="410"/>
      <c r="N52" s="406"/>
      <c r="O52" s="383"/>
      <c r="P52" s="384"/>
      <c r="Q52" s="385"/>
    </row>
    <row r="53" spans="1:17" ht="13.5" thickBot="1" x14ac:dyDescent="0.25">
      <c r="A53" s="599" t="s">
        <v>194</v>
      </c>
      <c r="B53" s="600" t="s">
        <v>195</v>
      </c>
      <c r="C53" s="399" t="s">
        <v>19</v>
      </c>
      <c r="D53" s="399" t="s">
        <v>33</v>
      </c>
      <c r="E53" s="400" t="s">
        <v>35</v>
      </c>
      <c r="F53" s="401" t="s">
        <v>30</v>
      </c>
      <c r="G53" s="535" t="s">
        <v>14</v>
      </c>
      <c r="H53" s="400" t="s">
        <v>35</v>
      </c>
      <c r="I53" s="401" t="s">
        <v>30</v>
      </c>
      <c r="J53" s="366" t="s">
        <v>659</v>
      </c>
      <c r="K53" s="536" t="s">
        <v>38</v>
      </c>
      <c r="L53" s="380"/>
      <c r="M53" s="257"/>
      <c r="N53" s="382"/>
      <c r="O53" s="383"/>
      <c r="P53" s="384"/>
      <c r="Q53" s="385"/>
    </row>
    <row r="54" spans="1:17" x14ac:dyDescent="0.2">
      <c r="A54" s="372"/>
      <c r="B54" s="5"/>
      <c r="C54" s="373"/>
      <c r="D54" s="374" t="s">
        <v>21</v>
      </c>
      <c r="E54" s="255">
        <v>0</v>
      </c>
      <c r="F54" s="375">
        <f>C54*E54</f>
        <v>0</v>
      </c>
      <c r="G54" s="531"/>
      <c r="H54" s="377">
        <v>0</v>
      </c>
      <c r="I54" s="375">
        <f>G54*H54</f>
        <v>0</v>
      </c>
      <c r="J54" s="378"/>
      <c r="K54" s="532">
        <f>F54+I54+J54</f>
        <v>0</v>
      </c>
      <c r="L54" s="380"/>
      <c r="M54" s="257"/>
      <c r="N54" s="382"/>
      <c r="O54" s="383"/>
      <c r="P54" s="384"/>
      <c r="Q54" s="385"/>
    </row>
    <row r="55" spans="1:17" x14ac:dyDescent="0.2">
      <c r="A55" s="372"/>
      <c r="B55" s="5"/>
      <c r="C55" s="373"/>
      <c r="D55" s="374" t="s">
        <v>21</v>
      </c>
      <c r="E55" s="255">
        <v>0</v>
      </c>
      <c r="F55" s="375">
        <f>C55*E55</f>
        <v>0</v>
      </c>
      <c r="G55" s="531"/>
      <c r="H55" s="377">
        <v>0</v>
      </c>
      <c r="I55" s="375">
        <f>G55*H55</f>
        <v>0</v>
      </c>
      <c r="J55" s="378"/>
      <c r="K55" s="532">
        <f>F55+I55+J55</f>
        <v>0</v>
      </c>
      <c r="L55" s="380"/>
      <c r="M55" s="257"/>
      <c r="N55" s="382"/>
      <c r="O55" s="383"/>
      <c r="P55" s="384"/>
      <c r="Q55" s="385"/>
    </row>
    <row r="56" spans="1:17" x14ac:dyDescent="0.2">
      <c r="A56" s="372"/>
      <c r="B56" s="5"/>
      <c r="C56" s="373"/>
      <c r="D56" s="374" t="s">
        <v>21</v>
      </c>
      <c r="E56" s="255">
        <v>0</v>
      </c>
      <c r="F56" s="375">
        <f>C56*E56</f>
        <v>0</v>
      </c>
      <c r="G56" s="531"/>
      <c r="H56" s="377">
        <v>0</v>
      </c>
      <c r="I56" s="375">
        <f>G56*H56</f>
        <v>0</v>
      </c>
      <c r="J56" s="378"/>
      <c r="K56" s="532">
        <f>F56+I56+J56</f>
        <v>0</v>
      </c>
      <c r="L56" s="380"/>
      <c r="M56" s="257"/>
      <c r="N56" s="382"/>
      <c r="O56" s="383"/>
      <c r="P56" s="384"/>
      <c r="Q56" s="385"/>
    </row>
    <row r="57" spans="1:17" x14ac:dyDescent="0.2">
      <c r="A57" s="389"/>
      <c r="B57" s="414"/>
      <c r="C57" s="390"/>
      <c r="D57" s="374"/>
      <c r="E57" s="255"/>
      <c r="F57" s="375"/>
      <c r="G57" s="531"/>
      <c r="H57" s="377"/>
      <c r="I57" s="375"/>
      <c r="J57" s="378"/>
      <c r="K57" s="537"/>
      <c r="L57" s="380"/>
      <c r="M57" s="257"/>
      <c r="N57" s="382"/>
      <c r="O57" s="383"/>
      <c r="P57" s="384"/>
      <c r="Q57" s="385"/>
    </row>
    <row r="58" spans="1:17" ht="13.5" thickBot="1" x14ac:dyDescent="0.25">
      <c r="A58" s="389"/>
      <c r="B58" s="414"/>
      <c r="C58" s="390"/>
      <c r="D58" s="374"/>
      <c r="E58" s="255"/>
      <c r="F58" s="375"/>
      <c r="G58" s="531"/>
      <c r="H58" s="377"/>
      <c r="I58" s="375"/>
      <c r="J58" s="378"/>
      <c r="K58" s="537"/>
      <c r="L58" s="380"/>
      <c r="M58" s="257"/>
      <c r="N58" s="382"/>
      <c r="O58" s="438"/>
      <c r="P58" s="439"/>
      <c r="Q58" s="385"/>
    </row>
    <row r="59" spans="1:17" ht="13.5" thickTop="1" x14ac:dyDescent="0.2">
      <c r="A59" s="389"/>
      <c r="B59" s="414"/>
      <c r="C59" s="390"/>
      <c r="D59" s="374"/>
      <c r="E59" s="255"/>
      <c r="F59" s="375"/>
      <c r="G59" s="531"/>
      <c r="H59" s="377"/>
      <c r="I59" s="375"/>
      <c r="J59" s="391" t="s">
        <v>30</v>
      </c>
      <c r="K59" s="534">
        <f>SUM(K54:K58)</f>
        <v>0</v>
      </c>
      <c r="L59" s="380"/>
      <c r="M59" s="257"/>
      <c r="N59" s="423"/>
      <c r="O59" s="438"/>
      <c r="P59" s="439"/>
      <c r="Q59" s="385"/>
    </row>
    <row r="60" spans="1:17" ht="13.5" thickBot="1" x14ac:dyDescent="0.25">
      <c r="A60" s="355" t="s">
        <v>0</v>
      </c>
      <c r="B60" s="356" t="s">
        <v>1</v>
      </c>
      <c r="C60" s="948" t="s">
        <v>656</v>
      </c>
      <c r="D60" s="948"/>
      <c r="E60" s="948"/>
      <c r="F60" s="948"/>
      <c r="G60" s="948" t="s">
        <v>34</v>
      </c>
      <c r="H60" s="948"/>
      <c r="I60" s="948"/>
      <c r="J60" s="357"/>
      <c r="K60" s="525"/>
      <c r="L60" s="393"/>
      <c r="M60" s="357"/>
      <c r="N60" s="440"/>
      <c r="O60" s="412"/>
      <c r="P60" s="413"/>
      <c r="Q60" s="385"/>
    </row>
    <row r="61" spans="1:17" ht="13.5" thickBot="1" x14ac:dyDescent="0.25">
      <c r="A61" s="599" t="s">
        <v>197</v>
      </c>
      <c r="B61" s="600" t="s">
        <v>196</v>
      </c>
      <c r="C61" s="399" t="s">
        <v>19</v>
      </c>
      <c r="D61" s="399" t="s">
        <v>33</v>
      </c>
      <c r="E61" s="400" t="s">
        <v>35</v>
      </c>
      <c r="F61" s="401" t="s">
        <v>30</v>
      </c>
      <c r="G61" s="535" t="s">
        <v>14</v>
      </c>
      <c r="H61" s="400" t="s">
        <v>35</v>
      </c>
      <c r="I61" s="401" t="s">
        <v>30</v>
      </c>
      <c r="J61" s="366" t="s">
        <v>659</v>
      </c>
      <c r="K61" s="536" t="s">
        <v>38</v>
      </c>
      <c r="L61" s="404"/>
      <c r="M61" s="410"/>
      <c r="N61" s="411"/>
      <c r="O61" s="383"/>
      <c r="P61" s="384"/>
      <c r="Q61" s="385"/>
    </row>
    <row r="62" spans="1:17" x14ac:dyDescent="0.2">
      <c r="A62" s="372"/>
      <c r="B62" s="5"/>
      <c r="C62" s="373"/>
      <c r="D62" s="374" t="s">
        <v>21</v>
      </c>
      <c r="E62" s="255">
        <v>0</v>
      </c>
      <c r="F62" s="375">
        <f>C62*E62</f>
        <v>0</v>
      </c>
      <c r="G62" s="531"/>
      <c r="H62" s="377">
        <v>0</v>
      </c>
      <c r="I62" s="375">
        <f>G62*H62</f>
        <v>0</v>
      </c>
      <c r="J62" s="378"/>
      <c r="K62" s="532">
        <f>F62+I62+J62</f>
        <v>0</v>
      </c>
      <c r="L62" s="380"/>
      <c r="M62" s="381"/>
      <c r="N62" s="382"/>
      <c r="O62" s="383"/>
      <c r="P62" s="384"/>
      <c r="Q62" s="385"/>
    </row>
    <row r="63" spans="1:17" x14ac:dyDescent="0.2">
      <c r="A63" s="372"/>
      <c r="B63" s="5"/>
      <c r="C63" s="373"/>
      <c r="D63" s="374" t="s">
        <v>21</v>
      </c>
      <c r="E63" s="255">
        <v>0</v>
      </c>
      <c r="F63" s="375">
        <f>C63*E63</f>
        <v>0</v>
      </c>
      <c r="G63" s="531"/>
      <c r="H63" s="377">
        <v>0</v>
      </c>
      <c r="I63" s="375">
        <f>G63*H63</f>
        <v>0</v>
      </c>
      <c r="J63" s="378"/>
      <c r="K63" s="532">
        <f>F63+I63+J63</f>
        <v>0</v>
      </c>
      <c r="L63" s="380"/>
      <c r="M63" s="381"/>
      <c r="N63" s="382"/>
      <c r="O63" s="383"/>
      <c r="P63" s="384"/>
      <c r="Q63" s="385"/>
    </row>
    <row r="64" spans="1:17" x14ac:dyDescent="0.2">
      <c r="A64" s="372"/>
      <c r="B64" s="5"/>
      <c r="C64" s="373"/>
      <c r="D64" s="374" t="s">
        <v>21</v>
      </c>
      <c r="E64" s="255">
        <v>0</v>
      </c>
      <c r="F64" s="375">
        <f>C64*E64</f>
        <v>0</v>
      </c>
      <c r="G64" s="531"/>
      <c r="H64" s="377">
        <v>0</v>
      </c>
      <c r="I64" s="375">
        <f>G64*H64</f>
        <v>0</v>
      </c>
      <c r="J64" s="378"/>
      <c r="K64" s="532">
        <f>F64+I64+J64</f>
        <v>0</v>
      </c>
      <c r="L64" s="380"/>
      <c r="M64" s="381"/>
      <c r="N64" s="382"/>
      <c r="O64" s="383"/>
      <c r="P64" s="384"/>
      <c r="Q64" s="385"/>
    </row>
    <row r="65" spans="1:17" x14ac:dyDescent="0.2">
      <c r="A65" s="372"/>
      <c r="B65" s="5"/>
      <c r="C65" s="373"/>
      <c r="D65" s="374" t="s">
        <v>21</v>
      </c>
      <c r="E65" s="255">
        <v>0</v>
      </c>
      <c r="F65" s="375">
        <f>C65*E65</f>
        <v>0</v>
      </c>
      <c r="G65" s="531"/>
      <c r="H65" s="377">
        <v>0</v>
      </c>
      <c r="I65" s="375">
        <f>G65*H65</f>
        <v>0</v>
      </c>
      <c r="J65" s="378"/>
      <c r="K65" s="532">
        <f>F65+I65+J65</f>
        <v>0</v>
      </c>
      <c r="L65" s="380"/>
      <c r="M65" s="381"/>
      <c r="N65" s="382"/>
      <c r="O65" s="383"/>
      <c r="P65" s="384"/>
      <c r="Q65" s="385"/>
    </row>
    <row r="66" spans="1:17" x14ac:dyDescent="0.2">
      <c r="A66" s="372"/>
      <c r="B66" s="5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ht="13.5" thickBot="1" x14ac:dyDescent="0.25">
      <c r="A67" s="389"/>
      <c r="B67" s="414"/>
      <c r="C67" s="390"/>
      <c r="D67" s="374"/>
      <c r="E67" s="255"/>
      <c r="F67" s="375"/>
      <c r="G67" s="531"/>
      <c r="H67" s="377"/>
      <c r="I67" s="375"/>
      <c r="J67" s="378"/>
      <c r="K67" s="537"/>
      <c r="L67" s="380"/>
      <c r="M67" s="381"/>
      <c r="N67" s="382"/>
      <c r="O67" s="383"/>
      <c r="P67" s="384"/>
      <c r="Q67" s="385"/>
    </row>
    <row r="68" spans="1:17" ht="13.5" thickTop="1" x14ac:dyDescent="0.2">
      <c r="A68" s="389"/>
      <c r="B68" s="414"/>
      <c r="C68" s="390"/>
      <c r="D68" s="374"/>
      <c r="E68" s="255"/>
      <c r="F68" s="375"/>
      <c r="G68" s="531"/>
      <c r="H68" s="377"/>
      <c r="I68" s="375"/>
      <c r="J68" s="391" t="s">
        <v>30</v>
      </c>
      <c r="K68" s="534">
        <f>SUM(K62:K67)</f>
        <v>0</v>
      </c>
      <c r="L68" s="380"/>
      <c r="M68" s="381"/>
      <c r="N68" s="382"/>
      <c r="O68" s="383"/>
      <c r="P68" s="384"/>
      <c r="Q68" s="385"/>
    </row>
    <row r="69" spans="1:17" ht="13.5" thickBot="1" x14ac:dyDescent="0.25">
      <c r="A69" s="355" t="s">
        <v>0</v>
      </c>
      <c r="B69" s="356" t="s">
        <v>1</v>
      </c>
      <c r="C69" s="948" t="s">
        <v>656</v>
      </c>
      <c r="D69" s="948"/>
      <c r="E69" s="948"/>
      <c r="F69" s="948"/>
      <c r="G69" s="948" t="s">
        <v>34</v>
      </c>
      <c r="H69" s="948"/>
      <c r="I69" s="948"/>
      <c r="J69" s="357"/>
      <c r="K69" s="525"/>
      <c r="L69" s="393"/>
      <c r="M69" s="394"/>
      <c r="N69" s="395"/>
      <c r="O69" s="383"/>
      <c r="P69" s="384"/>
      <c r="Q69" s="385"/>
    </row>
    <row r="70" spans="1:17" ht="13.5" thickBot="1" x14ac:dyDescent="0.25">
      <c r="A70" s="599" t="s">
        <v>198</v>
      </c>
      <c r="B70" s="600" t="s">
        <v>199</v>
      </c>
      <c r="C70" s="399" t="s">
        <v>19</v>
      </c>
      <c r="D70" s="399" t="s">
        <v>33</v>
      </c>
      <c r="E70" s="400" t="s">
        <v>35</v>
      </c>
      <c r="F70" s="401" t="s">
        <v>30</v>
      </c>
      <c r="G70" s="535" t="s">
        <v>14</v>
      </c>
      <c r="H70" s="400" t="s">
        <v>35</v>
      </c>
      <c r="I70" s="401" t="s">
        <v>30</v>
      </c>
      <c r="J70" s="366" t="s">
        <v>659</v>
      </c>
      <c r="K70" s="536" t="s">
        <v>38</v>
      </c>
      <c r="L70" s="404"/>
      <c r="M70" s="405"/>
      <c r="N70" s="406"/>
      <c r="O70" s="383"/>
      <c r="P70" s="384"/>
      <c r="Q70" s="385"/>
    </row>
    <row r="71" spans="1:17" x14ac:dyDescent="0.2">
      <c r="A71" s="372"/>
      <c r="B71" s="5"/>
      <c r="C71" s="373"/>
      <c r="D71" s="374" t="s">
        <v>21</v>
      </c>
      <c r="E71" s="255">
        <v>0</v>
      </c>
      <c r="F71" s="375">
        <f t="shared" ref="F71:F77" si="12">C71*E71</f>
        <v>0</v>
      </c>
      <c r="G71" s="531"/>
      <c r="H71" s="377">
        <v>0</v>
      </c>
      <c r="I71" s="375">
        <f t="shared" ref="I71:I77" si="13">G71*H71</f>
        <v>0</v>
      </c>
      <c r="J71" s="378"/>
      <c r="K71" s="532">
        <f t="shared" ref="K71:K77" si="14">F71+I71+J71</f>
        <v>0</v>
      </c>
      <c r="O71" s="383"/>
      <c r="P71" s="384"/>
      <c r="Q71" s="385"/>
    </row>
    <row r="72" spans="1:17" x14ac:dyDescent="0.2">
      <c r="A72" s="372"/>
      <c r="B72" s="5"/>
      <c r="C72" s="373"/>
      <c r="D72" s="374" t="s">
        <v>21</v>
      </c>
      <c r="E72" s="255">
        <v>0</v>
      </c>
      <c r="F72" s="375">
        <f t="shared" si="12"/>
        <v>0</v>
      </c>
      <c r="G72" s="531"/>
      <c r="H72" s="377">
        <v>0</v>
      </c>
      <c r="I72" s="375">
        <f t="shared" si="13"/>
        <v>0</v>
      </c>
      <c r="J72" s="378"/>
      <c r="K72" s="532">
        <f t="shared" si="14"/>
        <v>0</v>
      </c>
      <c r="L72" s="380"/>
      <c r="M72" s="381"/>
      <c r="N72" s="382"/>
      <c r="O72" s="383"/>
      <c r="P72" s="384"/>
      <c r="Q72" s="385"/>
    </row>
    <row r="73" spans="1:17" x14ac:dyDescent="0.2">
      <c r="A73" s="372"/>
      <c r="B73" s="5"/>
      <c r="C73" s="373"/>
      <c r="D73" s="374" t="s">
        <v>21</v>
      </c>
      <c r="E73" s="255">
        <v>0</v>
      </c>
      <c r="F73" s="375">
        <f t="shared" si="12"/>
        <v>0</v>
      </c>
      <c r="G73" s="531"/>
      <c r="H73" s="377">
        <v>0</v>
      </c>
      <c r="I73" s="375">
        <f t="shared" si="13"/>
        <v>0</v>
      </c>
      <c r="J73" s="378"/>
      <c r="K73" s="532">
        <f t="shared" si="14"/>
        <v>0</v>
      </c>
      <c r="L73" s="380"/>
      <c r="M73" s="381"/>
      <c r="N73" s="382"/>
      <c r="O73" s="383"/>
      <c r="P73" s="384"/>
      <c r="Q73" s="385"/>
    </row>
    <row r="74" spans="1:17" x14ac:dyDescent="0.2">
      <c r="A74" s="372"/>
      <c r="B74" s="5"/>
      <c r="C74" s="373"/>
      <c r="D74" s="374" t="s">
        <v>21</v>
      </c>
      <c r="E74" s="255">
        <v>0</v>
      </c>
      <c r="F74" s="375">
        <f t="shared" si="12"/>
        <v>0</v>
      </c>
      <c r="G74" s="531"/>
      <c r="H74" s="377">
        <v>0</v>
      </c>
      <c r="I74" s="375">
        <f t="shared" si="13"/>
        <v>0</v>
      </c>
      <c r="J74" s="378"/>
      <c r="K74" s="532">
        <f t="shared" si="14"/>
        <v>0</v>
      </c>
      <c r="L74" s="380"/>
      <c r="M74" s="381"/>
      <c r="N74" s="382"/>
      <c r="O74" s="383"/>
      <c r="P74" s="384"/>
      <c r="Q74" s="385"/>
    </row>
    <row r="75" spans="1:17" x14ac:dyDescent="0.2">
      <c r="A75" s="372"/>
      <c r="B75" s="5"/>
      <c r="C75" s="373"/>
      <c r="D75" s="374" t="s">
        <v>21</v>
      </c>
      <c r="E75" s="255">
        <v>0</v>
      </c>
      <c r="F75" s="375">
        <f t="shared" si="12"/>
        <v>0</v>
      </c>
      <c r="G75" s="531"/>
      <c r="H75" s="377">
        <v>0</v>
      </c>
      <c r="I75" s="375">
        <f t="shared" si="13"/>
        <v>0</v>
      </c>
      <c r="J75" s="378"/>
      <c r="K75" s="532">
        <f t="shared" si="14"/>
        <v>0</v>
      </c>
      <c r="L75" s="380"/>
      <c r="M75" s="381"/>
      <c r="N75" s="382"/>
      <c r="O75" s="383"/>
      <c r="P75" s="384"/>
      <c r="Q75" s="385"/>
    </row>
    <row r="76" spans="1:17" x14ac:dyDescent="0.2">
      <c r="A76" s="372"/>
      <c r="B76" s="5"/>
      <c r="C76" s="373"/>
      <c r="D76" s="374" t="s">
        <v>21</v>
      </c>
      <c r="E76" s="255">
        <v>0</v>
      </c>
      <c r="F76" s="375">
        <f t="shared" si="12"/>
        <v>0</v>
      </c>
      <c r="G76" s="531"/>
      <c r="H76" s="377">
        <v>0</v>
      </c>
      <c r="I76" s="375">
        <f t="shared" si="13"/>
        <v>0</v>
      </c>
      <c r="J76" s="378"/>
      <c r="K76" s="532">
        <f t="shared" si="14"/>
        <v>0</v>
      </c>
      <c r="L76" s="380"/>
      <c r="M76" s="381"/>
      <c r="N76" s="382"/>
      <c r="O76" s="383"/>
      <c r="P76" s="384"/>
      <c r="Q76" s="385"/>
    </row>
    <row r="77" spans="1:17" x14ac:dyDescent="0.2">
      <c r="A77" s="372"/>
      <c r="B77" s="5"/>
      <c r="C77" s="373"/>
      <c r="D77" s="374" t="s">
        <v>21</v>
      </c>
      <c r="E77" s="255">
        <v>0</v>
      </c>
      <c r="F77" s="375">
        <f t="shared" si="12"/>
        <v>0</v>
      </c>
      <c r="G77" s="531"/>
      <c r="H77" s="377">
        <v>0</v>
      </c>
      <c r="I77" s="375">
        <f t="shared" si="13"/>
        <v>0</v>
      </c>
      <c r="J77" s="378"/>
      <c r="K77" s="532">
        <f t="shared" si="14"/>
        <v>0</v>
      </c>
      <c r="L77" s="380"/>
      <c r="M77" s="381"/>
      <c r="N77" s="382"/>
      <c r="O77" s="383"/>
      <c r="P77" s="384"/>
      <c r="Q77" s="385"/>
    </row>
    <row r="78" spans="1:17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ht="13.5" thickTop="1" x14ac:dyDescent="0.2">
      <c r="A79" s="389"/>
      <c r="B79" s="414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SUM(K71:K78)</f>
        <v>0</v>
      </c>
      <c r="O79" s="383"/>
      <c r="P79" s="384"/>
      <c r="Q79" s="385"/>
    </row>
    <row r="80" spans="1:17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ht="13.5" thickBot="1" x14ac:dyDescent="0.25">
      <c r="A81" s="599" t="s">
        <v>200</v>
      </c>
      <c r="B81" s="600" t="s">
        <v>201</v>
      </c>
      <c r="C81" s="399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x14ac:dyDescent="0.2">
      <c r="A82" s="372"/>
      <c r="B82" s="5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L82" s="380"/>
      <c r="M82" s="381"/>
      <c r="N82" s="382"/>
      <c r="O82" s="383"/>
      <c r="P82" s="384"/>
      <c r="Q82" s="385"/>
    </row>
    <row r="83" spans="1:17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L83" s="380"/>
      <c r="M83" s="381"/>
      <c r="N83" s="382"/>
      <c r="O83" s="383"/>
      <c r="P83" s="384"/>
      <c r="Q83" s="385"/>
    </row>
    <row r="84" spans="1:17" x14ac:dyDescent="0.2">
      <c r="A84" s="372"/>
      <c r="B84" s="5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L84" s="380"/>
      <c r="M84" s="381"/>
      <c r="N84" s="382"/>
      <c r="O84" s="383"/>
      <c r="P84" s="384"/>
      <c r="Q84" s="385"/>
    </row>
    <row r="85" spans="1:17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L85" s="380"/>
      <c r="M85" s="381"/>
      <c r="N85" s="382"/>
      <c r="O85" s="383"/>
      <c r="P85" s="384"/>
      <c r="Q85" s="385"/>
    </row>
    <row r="86" spans="1:17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O86" s="383"/>
      <c r="P86" s="384"/>
      <c r="Q86" s="385"/>
    </row>
    <row r="87" spans="1:17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O87" s="383"/>
      <c r="P87" s="384"/>
      <c r="Q87" s="385"/>
    </row>
    <row r="88" spans="1:17" ht="13.5" thickTop="1" x14ac:dyDescent="0.2">
      <c r="A88" s="389"/>
      <c r="B88" s="414"/>
      <c r="C88" s="584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L88" s="380"/>
      <c r="M88" s="381"/>
      <c r="N88" s="382"/>
      <c r="O88" s="383"/>
      <c r="P88" s="384"/>
      <c r="Q88" s="385"/>
    </row>
    <row r="89" spans="1:17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ht="13.5" thickBot="1" x14ac:dyDescent="0.25">
      <c r="A90" s="599" t="s">
        <v>203</v>
      </c>
      <c r="B90" s="600" t="s">
        <v>202</v>
      </c>
      <c r="C90" s="399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x14ac:dyDescent="0.2">
      <c r="A91" s="372"/>
      <c r="B91" s="5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380"/>
      <c r="M91" s="381"/>
      <c r="N91" s="382"/>
      <c r="O91" s="383"/>
      <c r="P91" s="384"/>
      <c r="Q91" s="385"/>
    </row>
    <row r="92" spans="1:17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380"/>
      <c r="M92" s="381"/>
      <c r="N92" s="382"/>
      <c r="O92" s="383"/>
      <c r="P92" s="384"/>
      <c r="Q92" s="385"/>
    </row>
    <row r="93" spans="1:17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380"/>
      <c r="M93" s="381"/>
      <c r="N93" s="382"/>
      <c r="O93" s="383"/>
      <c r="P93" s="384"/>
      <c r="Q93" s="385"/>
    </row>
    <row r="94" spans="1:17" ht="13.5" thickBot="1" x14ac:dyDescent="0.25">
      <c r="A94" s="389"/>
      <c r="B94" s="5"/>
      <c r="C94" s="390"/>
      <c r="D94" s="374"/>
      <c r="E94" s="255"/>
      <c r="F94" s="375"/>
      <c r="G94" s="531"/>
      <c r="H94" s="377"/>
      <c r="I94" s="375"/>
      <c r="J94" s="378"/>
      <c r="K94" s="537"/>
      <c r="L94" s="380"/>
      <c r="M94" s="381"/>
      <c r="N94" s="382"/>
      <c r="O94" s="383"/>
      <c r="P94" s="384"/>
      <c r="Q94" s="385"/>
    </row>
    <row r="95" spans="1:17" ht="14.25" thickTop="1" thickBot="1" x14ac:dyDescent="0.25">
      <c r="A95" s="389"/>
      <c r="B95" s="157"/>
      <c r="C95" s="390"/>
      <c r="D95" s="374"/>
      <c r="E95" s="255"/>
      <c r="F95" s="375"/>
      <c r="G95" s="531"/>
      <c r="H95" s="377"/>
      <c r="I95" s="375"/>
      <c r="J95" s="391" t="s">
        <v>30</v>
      </c>
      <c r="K95" s="534">
        <f>SUM(K91:K94)</f>
        <v>0</v>
      </c>
      <c r="L95" s="585"/>
      <c r="M95" s="586"/>
      <c r="N95" s="587"/>
      <c r="O95" s="462"/>
      <c r="P95" s="463"/>
      <c r="Q95" s="464"/>
    </row>
    <row r="96" spans="1:17" ht="14.1" customHeight="1" thickTop="1" x14ac:dyDescent="0.2">
      <c r="A96" s="602"/>
      <c r="B96" s="603"/>
      <c r="C96" s="604"/>
      <c r="D96" s="604"/>
      <c r="E96" s="605"/>
      <c r="F96" s="1033" t="s">
        <v>658</v>
      </c>
      <c r="G96" s="1035" t="s">
        <v>682</v>
      </c>
      <c r="H96" s="605"/>
      <c r="I96" s="1037" t="s">
        <v>657</v>
      </c>
      <c r="J96" s="1039" t="s">
        <v>683</v>
      </c>
      <c r="K96" s="1041" t="s">
        <v>31</v>
      </c>
    </row>
    <row r="97" spans="1:11" x14ac:dyDescent="0.2">
      <c r="A97" s="606" t="s">
        <v>32</v>
      </c>
      <c r="B97" s="1043" t="s">
        <v>26</v>
      </c>
      <c r="C97" s="485"/>
      <c r="D97" s="607"/>
      <c r="E97" s="607"/>
      <c r="F97" s="1034"/>
      <c r="G97" s="1036"/>
      <c r="H97" s="608"/>
      <c r="I97" s="1038"/>
      <c r="J97" s="1040"/>
      <c r="K97" s="1042"/>
    </row>
    <row r="98" spans="1:11" x14ac:dyDescent="0.2">
      <c r="A98" s="829">
        <f>K98/E6</f>
        <v>105.42117916428163</v>
      </c>
      <c r="B98" s="1043"/>
      <c r="C98" s="607"/>
      <c r="D98" s="607"/>
      <c r="E98" s="607"/>
      <c r="F98" s="1029">
        <f>SUM(F91:F94,F82:F87,F71:F77,F62:F67,F54:F58,F39:F50,F21:F35,F11:F17)</f>
        <v>1995.8000000000002</v>
      </c>
      <c r="G98" s="1044">
        <f>SUM(G91:G94,G82:G87,G71:G77,G62:G67,G54:G58,G39:G50,G21:G35,G11:G17)</f>
        <v>20</v>
      </c>
      <c r="H98" s="608"/>
      <c r="I98" s="1029">
        <f>SUM(I91:I94,I82:I87,I71:I77,I62:I67,I54:I58,I39:I50,I21:I35,I11:I17)</f>
        <v>1300</v>
      </c>
      <c r="J98" s="1029">
        <f>SUM(J91:J94,J82:J87,J71:J77,J62:J67,J54:J58,J39:J50,J21:J35,J11:J17)</f>
        <v>180875</v>
      </c>
      <c r="K98" s="1031">
        <f>SUM(K95,K88,K79,K68,K59,K51,K36,K19)</f>
        <v>184170.8</v>
      </c>
    </row>
    <row r="99" spans="1:11" ht="13.5" thickBot="1" x14ac:dyDescent="0.25">
      <c r="A99" s="606"/>
      <c r="B99" s="609"/>
      <c r="C99" s="610"/>
      <c r="D99" s="610"/>
      <c r="E99" s="610"/>
      <c r="F99" s="1030"/>
      <c r="G99" s="1045"/>
      <c r="H99" s="610"/>
      <c r="I99" s="1030"/>
      <c r="J99" s="1030"/>
      <c r="K99" s="1032"/>
    </row>
    <row r="100" spans="1:11" ht="13.5" thickBot="1" x14ac:dyDescent="0.25">
      <c r="A100" s="491"/>
      <c r="B100" s="492"/>
      <c r="C100" s="492"/>
      <c r="D100" s="492"/>
      <c r="E100" s="492"/>
      <c r="F100" s="492"/>
      <c r="G100" s="492"/>
      <c r="H100" s="492"/>
      <c r="I100" s="492"/>
      <c r="J100" s="492"/>
      <c r="K100" s="493"/>
    </row>
    <row r="101" spans="1:11" x14ac:dyDescent="0.2">
      <c r="B101" s="157"/>
    </row>
    <row r="102" spans="1:11" x14ac:dyDescent="0.2">
      <c r="B102" s="157"/>
    </row>
    <row r="103" spans="1:11" x14ac:dyDescent="0.2">
      <c r="B103" s="157"/>
    </row>
    <row r="104" spans="1:11" x14ac:dyDescent="0.2">
      <c r="B104" s="157"/>
    </row>
    <row r="105" spans="1:11" x14ac:dyDescent="0.2">
      <c r="B105" s="157"/>
    </row>
    <row r="106" spans="1:11" x14ac:dyDescent="0.2">
      <c r="B106" s="157"/>
    </row>
    <row r="107" spans="1:11" x14ac:dyDescent="0.2">
      <c r="B107" s="157"/>
    </row>
    <row r="108" spans="1:11" x14ac:dyDescent="0.2">
      <c r="B108" s="157"/>
    </row>
    <row r="109" spans="1:11" x14ac:dyDescent="0.2">
      <c r="B109" s="157"/>
    </row>
    <row r="110" spans="1:11" x14ac:dyDescent="0.2">
      <c r="B110" s="157"/>
    </row>
    <row r="111" spans="1:11" x14ac:dyDescent="0.2">
      <c r="B111" s="157"/>
    </row>
    <row r="112" spans="1:11" x14ac:dyDescent="0.2">
      <c r="B112" s="157"/>
    </row>
    <row r="113" spans="2:2" x14ac:dyDescent="0.2">
      <c r="B113" s="157"/>
    </row>
    <row r="114" spans="2:2" x14ac:dyDescent="0.2">
      <c r="B114" s="157"/>
    </row>
    <row r="115" spans="2:2" x14ac:dyDescent="0.2">
      <c r="B115" s="157"/>
    </row>
    <row r="116" spans="2:2" x14ac:dyDescent="0.2">
      <c r="B116" s="157"/>
    </row>
    <row r="117" spans="2:2" x14ac:dyDescent="0.2">
      <c r="B117" s="157"/>
    </row>
    <row r="118" spans="2:2" x14ac:dyDescent="0.2">
      <c r="B118" s="157"/>
    </row>
    <row r="119" spans="2:2" x14ac:dyDescent="0.2">
      <c r="B119" s="157"/>
    </row>
    <row r="120" spans="2:2" x14ac:dyDescent="0.2">
      <c r="B120" s="157"/>
    </row>
    <row r="121" spans="2:2" x14ac:dyDescent="0.2">
      <c r="B121" s="157"/>
    </row>
    <row r="122" spans="2:2" x14ac:dyDescent="0.2">
      <c r="B122" s="157"/>
    </row>
    <row r="123" spans="2:2" x14ac:dyDescent="0.2">
      <c r="B123" s="157"/>
    </row>
    <row r="124" spans="2:2" x14ac:dyDescent="0.2">
      <c r="B124" s="157"/>
    </row>
    <row r="125" spans="2:2" x14ac:dyDescent="0.2">
      <c r="B125" s="157"/>
    </row>
    <row r="126" spans="2:2" x14ac:dyDescent="0.2">
      <c r="B126" s="157"/>
    </row>
    <row r="127" spans="2:2" x14ac:dyDescent="0.2">
      <c r="B127" s="157"/>
    </row>
    <row r="128" spans="2:2" x14ac:dyDescent="0.2">
      <c r="B128" s="157"/>
    </row>
    <row r="129" spans="2:2" x14ac:dyDescent="0.2">
      <c r="B129" s="157"/>
    </row>
    <row r="130" spans="2:2" x14ac:dyDescent="0.2">
      <c r="B130" s="157"/>
    </row>
    <row r="131" spans="2:2" x14ac:dyDescent="0.2">
      <c r="B131" s="157"/>
    </row>
    <row r="132" spans="2:2" x14ac:dyDescent="0.2">
      <c r="B132" s="157"/>
    </row>
    <row r="133" spans="2:2" x14ac:dyDescent="0.2">
      <c r="B133" s="157"/>
    </row>
    <row r="134" spans="2:2" x14ac:dyDescent="0.2">
      <c r="B134" s="157"/>
    </row>
    <row r="135" spans="2:2" x14ac:dyDescent="0.2">
      <c r="B135" s="157"/>
    </row>
    <row r="136" spans="2:2" x14ac:dyDescent="0.2">
      <c r="B136" s="157"/>
    </row>
    <row r="137" spans="2:2" x14ac:dyDescent="0.2">
      <c r="B137" s="157"/>
    </row>
    <row r="138" spans="2:2" x14ac:dyDescent="0.2">
      <c r="B138" s="157"/>
    </row>
    <row r="139" spans="2:2" x14ac:dyDescent="0.2">
      <c r="B139" s="157"/>
    </row>
    <row r="140" spans="2:2" x14ac:dyDescent="0.2">
      <c r="B140" s="157"/>
    </row>
    <row r="141" spans="2:2" x14ac:dyDescent="0.2">
      <c r="B141" s="157"/>
    </row>
    <row r="142" spans="2:2" x14ac:dyDescent="0.2">
      <c r="B142" s="157"/>
    </row>
    <row r="143" spans="2:2" x14ac:dyDescent="0.2">
      <c r="B143" s="157"/>
    </row>
    <row r="144" spans="2:2" x14ac:dyDescent="0.2">
      <c r="B144" s="157"/>
    </row>
    <row r="145" spans="2:2" x14ac:dyDescent="0.2">
      <c r="B145" s="157"/>
    </row>
    <row r="146" spans="2:2" x14ac:dyDescent="0.2">
      <c r="B146" s="157"/>
    </row>
    <row r="147" spans="2:2" x14ac:dyDescent="0.2">
      <c r="B147" s="157"/>
    </row>
    <row r="148" spans="2:2" x14ac:dyDescent="0.2">
      <c r="B148" s="157"/>
    </row>
    <row r="149" spans="2:2" x14ac:dyDescent="0.2">
      <c r="B149" s="157"/>
    </row>
    <row r="150" spans="2:2" x14ac:dyDescent="0.2">
      <c r="B150" s="157"/>
    </row>
    <row r="151" spans="2:2" x14ac:dyDescent="0.2">
      <c r="B151" s="157"/>
    </row>
    <row r="152" spans="2:2" x14ac:dyDescent="0.2">
      <c r="B152" s="157"/>
    </row>
    <row r="153" spans="2:2" x14ac:dyDescent="0.2">
      <c r="B153" s="157"/>
    </row>
    <row r="154" spans="2:2" x14ac:dyDescent="0.2">
      <c r="B154" s="157"/>
    </row>
    <row r="155" spans="2:2" x14ac:dyDescent="0.2">
      <c r="B155" s="157"/>
    </row>
    <row r="156" spans="2:2" x14ac:dyDescent="0.2">
      <c r="B156" s="157"/>
    </row>
    <row r="157" spans="2:2" x14ac:dyDescent="0.2">
      <c r="B157" s="157"/>
    </row>
    <row r="158" spans="2:2" x14ac:dyDescent="0.2">
      <c r="B158" s="157"/>
    </row>
    <row r="159" spans="2:2" x14ac:dyDescent="0.2">
      <c r="B159" s="157"/>
    </row>
    <row r="160" spans="2:2" x14ac:dyDescent="0.2">
      <c r="B160" s="157"/>
    </row>
    <row r="161" spans="2:2" x14ac:dyDescent="0.2">
      <c r="B161" s="157"/>
    </row>
    <row r="162" spans="2:2" x14ac:dyDescent="0.2">
      <c r="B162" s="157"/>
    </row>
    <row r="163" spans="2:2" x14ac:dyDescent="0.2">
      <c r="B163" s="157"/>
    </row>
    <row r="164" spans="2:2" x14ac:dyDescent="0.2">
      <c r="B164" s="157"/>
    </row>
    <row r="165" spans="2:2" x14ac:dyDescent="0.2">
      <c r="B165" s="157"/>
    </row>
    <row r="166" spans="2:2" x14ac:dyDescent="0.2">
      <c r="B166" s="157"/>
    </row>
    <row r="167" spans="2:2" x14ac:dyDescent="0.2">
      <c r="B167" s="157"/>
    </row>
    <row r="168" spans="2:2" x14ac:dyDescent="0.2">
      <c r="B168" s="157"/>
    </row>
    <row r="169" spans="2:2" x14ac:dyDescent="0.2">
      <c r="B169" s="157"/>
    </row>
    <row r="170" spans="2:2" x14ac:dyDescent="0.2">
      <c r="B170" s="157"/>
    </row>
    <row r="171" spans="2:2" x14ac:dyDescent="0.2">
      <c r="B171" s="157"/>
    </row>
    <row r="172" spans="2:2" x14ac:dyDescent="0.2">
      <c r="B172" s="157"/>
    </row>
    <row r="173" spans="2:2" x14ac:dyDescent="0.2">
      <c r="B173" s="157"/>
    </row>
    <row r="174" spans="2:2" x14ac:dyDescent="0.2">
      <c r="B174" s="157"/>
    </row>
    <row r="175" spans="2:2" x14ac:dyDescent="0.2">
      <c r="B175" s="157"/>
    </row>
    <row r="176" spans="2:2" x14ac:dyDescent="0.2">
      <c r="B176" s="157"/>
    </row>
    <row r="177" spans="2:2" x14ac:dyDescent="0.2">
      <c r="B177" s="157"/>
    </row>
    <row r="178" spans="2:2" x14ac:dyDescent="0.2">
      <c r="B178" s="157"/>
    </row>
    <row r="179" spans="2:2" x14ac:dyDescent="0.2">
      <c r="B179" s="157"/>
    </row>
    <row r="180" spans="2:2" x14ac:dyDescent="0.2">
      <c r="B180" s="157"/>
    </row>
    <row r="181" spans="2:2" x14ac:dyDescent="0.2">
      <c r="B181" s="157"/>
    </row>
    <row r="182" spans="2:2" x14ac:dyDescent="0.2">
      <c r="B182" s="157"/>
    </row>
    <row r="183" spans="2:2" x14ac:dyDescent="0.2">
      <c r="B183" s="157"/>
    </row>
    <row r="184" spans="2:2" x14ac:dyDescent="0.2">
      <c r="B184" s="157"/>
    </row>
    <row r="185" spans="2:2" x14ac:dyDescent="0.2">
      <c r="B185" s="157"/>
    </row>
    <row r="186" spans="2:2" x14ac:dyDescent="0.2">
      <c r="B186" s="157"/>
    </row>
    <row r="187" spans="2:2" x14ac:dyDescent="0.2">
      <c r="B187" s="157"/>
    </row>
    <row r="188" spans="2:2" x14ac:dyDescent="0.2">
      <c r="B188" s="157"/>
    </row>
    <row r="189" spans="2:2" x14ac:dyDescent="0.2">
      <c r="B189" s="157"/>
    </row>
    <row r="190" spans="2:2" x14ac:dyDescent="0.2">
      <c r="B190" s="157"/>
    </row>
    <row r="191" spans="2:2" x14ac:dyDescent="0.2">
      <c r="B191" s="157"/>
    </row>
    <row r="192" spans="2:2" x14ac:dyDescent="0.2">
      <c r="B192" s="157"/>
    </row>
    <row r="193" spans="2:2" x14ac:dyDescent="0.2">
      <c r="B193" s="157"/>
    </row>
    <row r="194" spans="2:2" x14ac:dyDescent="0.2">
      <c r="B194" s="157"/>
    </row>
    <row r="195" spans="2:2" x14ac:dyDescent="0.2">
      <c r="B195" s="157"/>
    </row>
    <row r="196" spans="2:2" x14ac:dyDescent="0.2">
      <c r="B196" s="157"/>
    </row>
    <row r="197" spans="2:2" x14ac:dyDescent="0.2">
      <c r="B197" s="157"/>
    </row>
    <row r="198" spans="2:2" x14ac:dyDescent="0.2">
      <c r="B198" s="157"/>
    </row>
    <row r="199" spans="2:2" x14ac:dyDescent="0.2">
      <c r="B199" s="157"/>
    </row>
    <row r="200" spans="2:2" x14ac:dyDescent="0.2">
      <c r="B200" s="157"/>
    </row>
    <row r="201" spans="2:2" x14ac:dyDescent="0.2">
      <c r="B201" s="157"/>
    </row>
    <row r="202" spans="2:2" x14ac:dyDescent="0.2">
      <c r="B202" s="157"/>
    </row>
    <row r="203" spans="2:2" x14ac:dyDescent="0.2">
      <c r="B203" s="157"/>
    </row>
    <row r="204" spans="2:2" x14ac:dyDescent="0.2">
      <c r="B204" s="157"/>
    </row>
    <row r="205" spans="2:2" x14ac:dyDescent="0.2">
      <c r="B205" s="157"/>
    </row>
    <row r="206" spans="2:2" x14ac:dyDescent="0.2">
      <c r="B206" s="157"/>
    </row>
    <row r="207" spans="2:2" x14ac:dyDescent="0.2">
      <c r="B207" s="157"/>
    </row>
    <row r="208" spans="2:2" x14ac:dyDescent="0.2">
      <c r="B208" s="157"/>
    </row>
    <row r="209" spans="2:2" x14ac:dyDescent="0.2">
      <c r="B209" s="157"/>
    </row>
    <row r="210" spans="2:2" x14ac:dyDescent="0.2">
      <c r="B210" s="157"/>
    </row>
    <row r="211" spans="2:2" x14ac:dyDescent="0.2">
      <c r="B211" s="157"/>
    </row>
    <row r="212" spans="2:2" x14ac:dyDescent="0.2">
      <c r="B212" s="157"/>
    </row>
    <row r="213" spans="2:2" x14ac:dyDescent="0.2">
      <c r="B213" s="157"/>
    </row>
    <row r="214" spans="2:2" x14ac:dyDescent="0.2">
      <c r="B214" s="157"/>
    </row>
    <row r="215" spans="2:2" x14ac:dyDescent="0.2">
      <c r="B215" s="157"/>
    </row>
    <row r="216" spans="2:2" x14ac:dyDescent="0.2">
      <c r="B216" s="157"/>
    </row>
    <row r="217" spans="2:2" x14ac:dyDescent="0.2">
      <c r="B217" s="157"/>
    </row>
    <row r="218" spans="2:2" x14ac:dyDescent="0.2">
      <c r="B218" s="157"/>
    </row>
    <row r="219" spans="2:2" x14ac:dyDescent="0.2">
      <c r="B219" s="157"/>
    </row>
    <row r="220" spans="2:2" x14ac:dyDescent="0.2">
      <c r="B220" s="157"/>
    </row>
    <row r="221" spans="2:2" x14ac:dyDescent="0.2">
      <c r="B221" s="157"/>
    </row>
    <row r="222" spans="2:2" x14ac:dyDescent="0.2">
      <c r="B222" s="157"/>
    </row>
    <row r="223" spans="2:2" x14ac:dyDescent="0.2">
      <c r="B223" s="157"/>
    </row>
    <row r="224" spans="2:2" x14ac:dyDescent="0.2">
      <c r="B224" s="157"/>
    </row>
    <row r="225" spans="2:2" x14ac:dyDescent="0.2">
      <c r="B225" s="157"/>
    </row>
    <row r="226" spans="2:2" x14ac:dyDescent="0.2">
      <c r="B226" s="157"/>
    </row>
    <row r="227" spans="2:2" x14ac:dyDescent="0.2">
      <c r="B227" s="157"/>
    </row>
    <row r="228" spans="2:2" x14ac:dyDescent="0.2">
      <c r="B228" s="157"/>
    </row>
    <row r="229" spans="2:2" x14ac:dyDescent="0.2">
      <c r="B229" s="157"/>
    </row>
    <row r="230" spans="2:2" x14ac:dyDescent="0.2">
      <c r="B230" s="157"/>
    </row>
    <row r="231" spans="2:2" x14ac:dyDescent="0.2">
      <c r="B231" s="157"/>
    </row>
    <row r="232" spans="2:2" x14ac:dyDescent="0.2">
      <c r="B232" s="157"/>
    </row>
    <row r="233" spans="2:2" x14ac:dyDescent="0.2">
      <c r="B233" s="157"/>
    </row>
    <row r="234" spans="2:2" x14ac:dyDescent="0.2">
      <c r="B234" s="157"/>
    </row>
    <row r="235" spans="2:2" x14ac:dyDescent="0.2">
      <c r="B235" s="157"/>
    </row>
    <row r="236" spans="2:2" x14ac:dyDescent="0.2">
      <c r="B236" s="157"/>
    </row>
    <row r="237" spans="2:2" x14ac:dyDescent="0.2">
      <c r="B237" s="157"/>
    </row>
    <row r="238" spans="2:2" x14ac:dyDescent="0.2">
      <c r="B238" s="157"/>
    </row>
    <row r="239" spans="2:2" x14ac:dyDescent="0.2">
      <c r="B239" s="157"/>
    </row>
    <row r="240" spans="2:2" x14ac:dyDescent="0.2">
      <c r="B240" s="157"/>
    </row>
    <row r="241" spans="2:2" x14ac:dyDescent="0.2">
      <c r="B241" s="157"/>
    </row>
    <row r="242" spans="2:2" x14ac:dyDescent="0.2">
      <c r="B242" s="157"/>
    </row>
    <row r="243" spans="2:2" x14ac:dyDescent="0.2">
      <c r="B243" s="157"/>
    </row>
    <row r="244" spans="2:2" x14ac:dyDescent="0.2">
      <c r="B244" s="157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7:F37"/>
    <mergeCell ref="G37:I37"/>
    <mergeCell ref="B97:B98"/>
    <mergeCell ref="F98:F99"/>
    <mergeCell ref="G98:G99"/>
    <mergeCell ref="I98:I99"/>
    <mergeCell ref="C69:F69"/>
    <mergeCell ref="G69:I69"/>
    <mergeCell ref="C80:F80"/>
    <mergeCell ref="G80:I80"/>
    <mergeCell ref="C52:F52"/>
    <mergeCell ref="G52:I52"/>
    <mergeCell ref="C60:F60"/>
    <mergeCell ref="C89:F89"/>
    <mergeCell ref="G89:I89"/>
    <mergeCell ref="G60:I60"/>
    <mergeCell ref="J98:J99"/>
    <mergeCell ref="K98:K99"/>
    <mergeCell ref="F96:F97"/>
    <mergeCell ref="G96:G97"/>
    <mergeCell ref="I96:I97"/>
    <mergeCell ref="J96:J97"/>
    <mergeCell ref="K96:K97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W95"/>
  <sheetViews>
    <sheetView topLeftCell="A30" zoomScale="90" zoomScaleNormal="75" zoomScaleSheetLayoutView="90" zoomScalePageLayoutView="75" workbookViewId="0">
      <selection activeCell="J75" sqref="J75"/>
    </sheetView>
  </sheetViews>
  <sheetFormatPr defaultColWidth="9.140625" defaultRowHeight="12.75" x14ac:dyDescent="0.2"/>
  <cols>
    <col min="1" max="1" width="12.85546875" style="157" bestFit="1" customWidth="1"/>
    <col min="2" max="2" width="46" style="157" customWidth="1"/>
    <col min="3" max="4" width="5" style="442" customWidth="1"/>
    <col min="5" max="5" width="11.42578125" style="157" bestFit="1" customWidth="1"/>
    <col min="6" max="6" width="12.5703125" style="157" bestFit="1" customWidth="1"/>
    <col min="7" max="7" width="8.5703125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customWidth="1"/>
    <col min="12" max="12" width="17.85546875" style="159" bestFit="1" customWidth="1"/>
    <col min="13" max="13" width="14" style="316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611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3">
      <c r="A4" s="982"/>
      <c r="B4" s="983"/>
      <c r="C4" s="516"/>
      <c r="D4" s="993"/>
      <c r="E4" s="993"/>
      <c r="F4" s="993"/>
      <c r="G4" s="612"/>
      <c r="H4" s="612"/>
      <c r="I4" s="611"/>
      <c r="J4" s="331"/>
      <c r="K4" s="332"/>
      <c r="L4" s="1011"/>
      <c r="M4" s="1012"/>
      <c r="N4" s="994"/>
      <c r="O4" s="994"/>
      <c r="P4" s="946"/>
    </row>
    <row r="5" spans="1:17" ht="21" thickBot="1" x14ac:dyDescent="0.35">
      <c r="A5" s="613"/>
      <c r="B5" s="614"/>
      <c r="C5" s="518"/>
      <c r="D5" s="615"/>
      <c r="E5" s="343"/>
      <c r="F5" s="612"/>
      <c r="G5" s="1079" t="s">
        <v>660</v>
      </c>
      <c r="H5" s="1080"/>
      <c r="I5" s="1081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35">
      <c r="A6" s="613"/>
      <c r="B6" s="614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1082"/>
      <c r="H6" s="1083"/>
      <c r="I6" s="1084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616" t="s">
        <v>0</v>
      </c>
      <c r="B9" s="617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618"/>
      <c r="K9" s="525"/>
      <c r="L9" s="1055" t="s">
        <v>780</v>
      </c>
      <c r="M9" s="1057" t="s">
        <v>781</v>
      </c>
      <c r="N9" s="1059" t="s">
        <v>782</v>
      </c>
      <c r="O9" s="1061"/>
      <c r="P9" s="1063"/>
      <c r="Q9" s="1053"/>
    </row>
    <row r="10" spans="1:17" ht="16.5" thickBot="1" x14ac:dyDescent="0.3">
      <c r="A10" s="581" t="s">
        <v>205</v>
      </c>
      <c r="B10" s="582" t="s">
        <v>206</v>
      </c>
      <c r="C10" s="619" t="s">
        <v>19</v>
      </c>
      <c r="D10" s="619" t="s">
        <v>33</v>
      </c>
      <c r="E10" s="447" t="s">
        <v>35</v>
      </c>
      <c r="F10" s="620" t="s">
        <v>30</v>
      </c>
      <c r="G10" s="621" t="s">
        <v>14</v>
      </c>
      <c r="H10" s="447" t="s">
        <v>35</v>
      </c>
      <c r="I10" s="620" t="s">
        <v>30</v>
      </c>
      <c r="J10" s="622" t="s">
        <v>659</v>
      </c>
      <c r="K10" s="623" t="s">
        <v>38</v>
      </c>
      <c r="L10" s="1056"/>
      <c r="M10" s="1058"/>
      <c r="N10" s="1060"/>
      <c r="O10" s="1062"/>
      <c r="P10" s="1064"/>
      <c r="Q10" s="1054"/>
    </row>
    <row r="11" spans="1:17" x14ac:dyDescent="0.2">
      <c r="A11" s="258" t="s">
        <v>207</v>
      </c>
      <c r="B11" s="258" t="s">
        <v>210</v>
      </c>
      <c r="C11" s="441"/>
      <c r="D11" s="374" t="s">
        <v>21</v>
      </c>
      <c r="E11" s="255">
        <v>0</v>
      </c>
      <c r="F11" s="375">
        <f>C11*E11</f>
        <v>0</v>
      </c>
      <c r="G11" s="531"/>
      <c r="H11" s="377">
        <v>0</v>
      </c>
      <c r="I11" s="375">
        <f>G11*H11</f>
        <v>0</v>
      </c>
      <c r="J11" s="624"/>
      <c r="K11" s="532">
        <f>F11+I11+J11</f>
        <v>0</v>
      </c>
      <c r="L11" s="380"/>
      <c r="M11" s="625"/>
      <c r="N11" s="382"/>
      <c r="O11" s="383"/>
      <c r="P11" s="384"/>
      <c r="Q11" s="385"/>
    </row>
    <row r="12" spans="1:17" x14ac:dyDescent="0.2">
      <c r="A12" s="258" t="s">
        <v>208</v>
      </c>
      <c r="B12" s="258" t="s">
        <v>211</v>
      </c>
      <c r="C12" s="373"/>
      <c r="D12" s="374" t="s">
        <v>21</v>
      </c>
      <c r="E12" s="255">
        <v>0</v>
      </c>
      <c r="F12" s="375">
        <f>C12*E12</f>
        <v>0</v>
      </c>
      <c r="G12" s="531"/>
      <c r="H12" s="377">
        <v>0</v>
      </c>
      <c r="I12" s="375">
        <f>G12*H12</f>
        <v>0</v>
      </c>
      <c r="J12" s="624"/>
      <c r="K12" s="532">
        <f>F12+I12+J12</f>
        <v>0</v>
      </c>
      <c r="L12" s="380"/>
      <c r="M12" s="625"/>
      <c r="N12" s="382"/>
      <c r="O12" s="383"/>
      <c r="P12" s="384"/>
      <c r="Q12" s="385"/>
    </row>
    <row r="13" spans="1:17" x14ac:dyDescent="0.2">
      <c r="A13" s="258" t="s">
        <v>209</v>
      </c>
      <c r="B13" s="258" t="s">
        <v>212</v>
      </c>
      <c r="C13" s="373"/>
      <c r="D13" s="374" t="s">
        <v>21</v>
      </c>
      <c r="E13" s="255">
        <v>0</v>
      </c>
      <c r="F13" s="375">
        <f>C13*E13</f>
        <v>0</v>
      </c>
      <c r="G13" s="531"/>
      <c r="H13" s="377">
        <v>0</v>
      </c>
      <c r="I13" s="375">
        <f>G13*H13</f>
        <v>0</v>
      </c>
      <c r="J13" s="624"/>
      <c r="K13" s="532">
        <f>F13+I13+J13</f>
        <v>0</v>
      </c>
      <c r="L13" s="380"/>
      <c r="M13" s="625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>C14*E14</f>
        <v>0</v>
      </c>
      <c r="G14" s="531"/>
      <c r="H14" s="377">
        <v>0</v>
      </c>
      <c r="I14" s="375">
        <f>G14*H14</f>
        <v>0</v>
      </c>
      <c r="J14" s="624"/>
      <c r="K14" s="532">
        <f>F14+I14+J14</f>
        <v>0</v>
      </c>
      <c r="L14" s="380"/>
      <c r="M14" s="625"/>
      <c r="N14" s="382"/>
      <c r="O14" s="383"/>
      <c r="P14" s="384"/>
      <c r="Q14" s="385"/>
    </row>
    <row r="15" spans="1:17" ht="13.5" thickBot="1" x14ac:dyDescent="0.25">
      <c r="A15" s="389"/>
      <c r="B15" s="7"/>
      <c r="C15" s="390"/>
      <c r="D15" s="374"/>
      <c r="E15" s="255"/>
      <c r="F15" s="375"/>
      <c r="G15" s="531"/>
      <c r="H15" s="377"/>
      <c r="I15" s="375"/>
      <c r="J15" s="624"/>
      <c r="K15" s="532"/>
      <c r="L15" s="380"/>
      <c r="M15" s="625"/>
      <c r="N15" s="382"/>
      <c r="O15" s="383"/>
      <c r="P15" s="384"/>
      <c r="Q15" s="385"/>
    </row>
    <row r="16" spans="1:17" ht="13.5" thickTop="1" x14ac:dyDescent="0.2">
      <c r="A16" s="389"/>
      <c r="B16" s="7"/>
      <c r="C16" s="390"/>
      <c r="D16" s="374"/>
      <c r="E16" s="255"/>
      <c r="F16" s="375"/>
      <c r="G16" s="531"/>
      <c r="H16" s="377"/>
      <c r="I16" s="375"/>
      <c r="J16" s="391" t="s">
        <v>30</v>
      </c>
      <c r="K16" s="534">
        <f>SUM(K11:K15)</f>
        <v>0</v>
      </c>
      <c r="L16" s="380"/>
      <c r="M16" s="625"/>
      <c r="N16" s="382"/>
      <c r="O16" s="383"/>
      <c r="P16" s="384"/>
      <c r="Q16" s="385"/>
    </row>
    <row r="17" spans="1:23" ht="13.5" thickBot="1" x14ac:dyDescent="0.25">
      <c r="A17" s="616" t="s">
        <v>0</v>
      </c>
      <c r="B17" s="617" t="s">
        <v>1</v>
      </c>
      <c r="C17" s="1065" t="s">
        <v>656</v>
      </c>
      <c r="D17" s="948"/>
      <c r="E17" s="948"/>
      <c r="F17" s="948"/>
      <c r="G17" s="948" t="s">
        <v>34</v>
      </c>
      <c r="H17" s="948"/>
      <c r="I17" s="948"/>
      <c r="J17" s="618"/>
      <c r="K17" s="525"/>
      <c r="L17" s="393"/>
      <c r="M17" s="626"/>
      <c r="N17" s="395"/>
      <c r="O17" s="383"/>
      <c r="P17" s="384"/>
      <c r="Q17" s="385"/>
    </row>
    <row r="18" spans="1:23" ht="16.5" thickBot="1" x14ac:dyDescent="0.3">
      <c r="A18" s="581" t="s">
        <v>213</v>
      </c>
      <c r="B18" s="582" t="s">
        <v>214</v>
      </c>
      <c r="C18" s="627" t="s">
        <v>19</v>
      </c>
      <c r="D18" s="627" t="s">
        <v>33</v>
      </c>
      <c r="E18" s="628" t="s">
        <v>35</v>
      </c>
      <c r="F18" s="629" t="s">
        <v>30</v>
      </c>
      <c r="G18" s="630" t="s">
        <v>14</v>
      </c>
      <c r="H18" s="628" t="s">
        <v>35</v>
      </c>
      <c r="I18" s="629" t="s">
        <v>30</v>
      </c>
      <c r="J18" s="622" t="s">
        <v>659</v>
      </c>
      <c r="K18" s="631" t="s">
        <v>38</v>
      </c>
      <c r="L18" s="404"/>
      <c r="M18" s="632"/>
      <c r="N18" s="406"/>
      <c r="O18" s="383"/>
      <c r="P18" s="384"/>
      <c r="Q18" s="385"/>
    </row>
    <row r="19" spans="1:23" x14ac:dyDescent="0.2">
      <c r="A19" s="389"/>
      <c r="B19" s="7"/>
      <c r="C19" s="373"/>
      <c r="D19" s="374" t="s">
        <v>21</v>
      </c>
      <c r="E19" s="255">
        <v>0</v>
      </c>
      <c r="F19" s="375">
        <f>C19*E19</f>
        <v>0</v>
      </c>
      <c r="G19" s="531"/>
      <c r="H19" s="377">
        <v>0</v>
      </c>
      <c r="I19" s="375">
        <f>G19*H19</f>
        <v>0</v>
      </c>
      <c r="J19" s="624"/>
      <c r="K19" s="532">
        <f>F19+I19+J19</f>
        <v>0</v>
      </c>
      <c r="L19" s="157"/>
      <c r="M19" s="633"/>
      <c r="O19" s="383"/>
      <c r="P19" s="384"/>
      <c r="Q19" s="385"/>
    </row>
    <row r="20" spans="1:23" x14ac:dyDescent="0.2">
      <c r="A20" s="389"/>
      <c r="B20" s="7"/>
      <c r="C20" s="373"/>
      <c r="D20" s="374" t="s">
        <v>21</v>
      </c>
      <c r="E20" s="255">
        <v>0</v>
      </c>
      <c r="F20" s="375">
        <f>C20*E20</f>
        <v>0</v>
      </c>
      <c r="G20" s="531"/>
      <c r="H20" s="377">
        <v>0</v>
      </c>
      <c r="I20" s="375">
        <f>G20*H20</f>
        <v>0</v>
      </c>
      <c r="J20" s="624"/>
      <c r="K20" s="532">
        <f>F20+I20+J20</f>
        <v>0</v>
      </c>
      <c r="O20" s="383"/>
      <c r="P20" s="384"/>
      <c r="Q20" s="385"/>
    </row>
    <row r="21" spans="1:23" ht="13.5" thickBot="1" x14ac:dyDescent="0.25">
      <c r="A21" s="389"/>
      <c r="B21" s="7"/>
      <c r="C21" s="441"/>
      <c r="D21" s="374" t="s">
        <v>21</v>
      </c>
      <c r="E21" s="255">
        <v>0</v>
      </c>
      <c r="F21" s="375">
        <f>C21*E21</f>
        <v>0</v>
      </c>
      <c r="G21" s="531"/>
      <c r="H21" s="377">
        <v>0</v>
      </c>
      <c r="I21" s="375">
        <f>G21*H21</f>
        <v>0</v>
      </c>
      <c r="J21" s="624"/>
      <c r="K21" s="532">
        <f>F21+I21+J21</f>
        <v>0</v>
      </c>
      <c r="L21" s="380"/>
      <c r="M21" s="625"/>
      <c r="N21" s="382"/>
      <c r="O21" s="383"/>
      <c r="P21" s="384"/>
      <c r="Q21" s="385"/>
    </row>
    <row r="22" spans="1:23" s="159" customFormat="1" ht="13.5" thickTop="1" x14ac:dyDescent="0.2">
      <c r="A22" s="389"/>
      <c r="B22" s="5"/>
      <c r="C22" s="390"/>
      <c r="D22" s="374"/>
      <c r="E22" s="255"/>
      <c r="F22" s="375"/>
      <c r="G22" s="531"/>
      <c r="H22" s="377"/>
      <c r="I22" s="375"/>
      <c r="J22" s="391" t="s">
        <v>30</v>
      </c>
      <c r="K22" s="534">
        <f>SUM(K19:K21)</f>
        <v>0</v>
      </c>
      <c r="L22" s="380"/>
      <c r="M22" s="625"/>
      <c r="N22" s="382"/>
      <c r="O22" s="383"/>
      <c r="P22" s="384"/>
      <c r="Q22" s="385"/>
      <c r="W22" s="157"/>
    </row>
    <row r="23" spans="1:23" s="159" customFormat="1" ht="13.5" thickBot="1" x14ac:dyDescent="0.25">
      <c r="A23" s="616" t="s">
        <v>0</v>
      </c>
      <c r="B23" s="617" t="s">
        <v>1</v>
      </c>
      <c r="C23" s="1065" t="s">
        <v>656</v>
      </c>
      <c r="D23" s="948"/>
      <c r="E23" s="948"/>
      <c r="F23" s="948"/>
      <c r="G23" s="948" t="s">
        <v>34</v>
      </c>
      <c r="H23" s="948"/>
      <c r="I23" s="948"/>
      <c r="J23" s="618"/>
      <c r="K23" s="525"/>
      <c r="L23" s="393"/>
      <c r="M23" s="626"/>
      <c r="N23" s="395"/>
      <c r="O23" s="383"/>
      <c r="P23" s="384"/>
      <c r="Q23" s="385"/>
      <c r="W23" s="157"/>
    </row>
    <row r="24" spans="1:23" s="159" customFormat="1" ht="16.5" thickBot="1" x14ac:dyDescent="0.3">
      <c r="A24" s="581" t="s">
        <v>215</v>
      </c>
      <c r="B24" s="582" t="s">
        <v>216</v>
      </c>
      <c r="C24" s="627" t="s">
        <v>19</v>
      </c>
      <c r="D24" s="627" t="s">
        <v>33</v>
      </c>
      <c r="E24" s="628" t="s">
        <v>35</v>
      </c>
      <c r="F24" s="629" t="s">
        <v>30</v>
      </c>
      <c r="G24" s="630" t="s">
        <v>14</v>
      </c>
      <c r="H24" s="628" t="s">
        <v>35</v>
      </c>
      <c r="I24" s="629" t="s">
        <v>30</v>
      </c>
      <c r="J24" s="622" t="s">
        <v>659</v>
      </c>
      <c r="K24" s="631" t="s">
        <v>38</v>
      </c>
      <c r="L24" s="404"/>
      <c r="M24" s="634"/>
      <c r="N24" s="411"/>
      <c r="O24" s="383"/>
      <c r="P24" s="384"/>
      <c r="Q24" s="385"/>
      <c r="W24" s="157"/>
    </row>
    <row r="25" spans="1:23" s="159" customFormat="1" x14ac:dyDescent="0.2">
      <c r="A25" s="389"/>
      <c r="B25" s="7"/>
      <c r="C25" s="373"/>
      <c r="D25" s="374" t="s">
        <v>21</v>
      </c>
      <c r="E25" s="255">
        <v>0</v>
      </c>
      <c r="F25" s="375">
        <f>C25*E25</f>
        <v>0</v>
      </c>
      <c r="G25" s="531"/>
      <c r="H25" s="377">
        <v>0</v>
      </c>
      <c r="I25" s="375">
        <f>G25*H25</f>
        <v>0</v>
      </c>
      <c r="J25" s="624"/>
      <c r="K25" s="532">
        <f>F25+I25+J25</f>
        <v>0</v>
      </c>
      <c r="L25" s="157"/>
      <c r="M25" s="633"/>
      <c r="N25" s="157"/>
      <c r="O25" s="383"/>
      <c r="P25" s="384"/>
      <c r="Q25" s="385"/>
      <c r="W25" s="157"/>
    </row>
    <row r="26" spans="1:23" s="159" customFormat="1" ht="13.5" thickBot="1" x14ac:dyDescent="0.25">
      <c r="A26" s="389"/>
      <c r="B26" s="7"/>
      <c r="C26" s="373"/>
      <c r="D26" s="374" t="s">
        <v>21</v>
      </c>
      <c r="E26" s="255">
        <v>0</v>
      </c>
      <c r="F26" s="375">
        <f>C26*E26</f>
        <v>0</v>
      </c>
      <c r="G26" s="531"/>
      <c r="H26" s="377">
        <v>0</v>
      </c>
      <c r="I26" s="375">
        <f>G26*H26</f>
        <v>0</v>
      </c>
      <c r="J26" s="624"/>
      <c r="K26" s="532">
        <f>F26+I26+J26</f>
        <v>0</v>
      </c>
      <c r="L26" s="157"/>
      <c r="M26" s="633"/>
      <c r="N26" s="157"/>
      <c r="O26" s="383"/>
      <c r="P26" s="384"/>
      <c r="Q26" s="385"/>
      <c r="W26" s="157"/>
    </row>
    <row r="27" spans="1:23" ht="13.5" thickTop="1" x14ac:dyDescent="0.2">
      <c r="A27" s="389"/>
      <c r="B27" s="414"/>
      <c r="C27" s="390"/>
      <c r="D27" s="374"/>
      <c r="E27" s="255"/>
      <c r="F27" s="375"/>
      <c r="G27" s="531"/>
      <c r="H27" s="377"/>
      <c r="I27" s="375"/>
      <c r="J27" s="391" t="s">
        <v>30</v>
      </c>
      <c r="K27" s="534">
        <f>SUM(K25:K26)</f>
        <v>0</v>
      </c>
      <c r="L27" s="380"/>
      <c r="M27" s="625"/>
      <c r="N27" s="382"/>
      <c r="O27" s="383"/>
      <c r="P27" s="384"/>
      <c r="Q27" s="385"/>
    </row>
    <row r="28" spans="1:23" ht="13.5" thickBot="1" x14ac:dyDescent="0.25">
      <c r="A28" s="616" t="s">
        <v>0</v>
      </c>
      <c r="B28" s="617" t="s">
        <v>1</v>
      </c>
      <c r="C28" s="1065" t="s">
        <v>656</v>
      </c>
      <c r="D28" s="948"/>
      <c r="E28" s="948"/>
      <c r="F28" s="948"/>
      <c r="G28" s="948" t="s">
        <v>34</v>
      </c>
      <c r="H28" s="948"/>
      <c r="I28" s="948"/>
      <c r="J28" s="618"/>
      <c r="K28" s="525"/>
      <c r="L28" s="393"/>
      <c r="M28" s="626"/>
      <c r="N28" s="395"/>
      <c r="O28" s="383"/>
      <c r="P28" s="384"/>
      <c r="Q28" s="385"/>
    </row>
    <row r="29" spans="1:23" ht="16.5" thickBot="1" x14ac:dyDescent="0.3">
      <c r="A29" s="581" t="s">
        <v>217</v>
      </c>
      <c r="B29" s="582" t="s">
        <v>218</v>
      </c>
      <c r="C29" s="627" t="s">
        <v>19</v>
      </c>
      <c r="D29" s="627" t="s">
        <v>33</v>
      </c>
      <c r="E29" s="628" t="s">
        <v>35</v>
      </c>
      <c r="F29" s="629" t="s">
        <v>30</v>
      </c>
      <c r="G29" s="630" t="s">
        <v>14</v>
      </c>
      <c r="H29" s="628" t="s">
        <v>35</v>
      </c>
      <c r="I29" s="629" t="s">
        <v>30</v>
      </c>
      <c r="J29" s="622" t="s">
        <v>659</v>
      </c>
      <c r="K29" s="631" t="s">
        <v>38</v>
      </c>
      <c r="L29" s="404"/>
      <c r="M29" s="634"/>
      <c r="N29" s="411"/>
      <c r="O29" s="383"/>
      <c r="P29" s="384"/>
      <c r="Q29" s="385"/>
    </row>
    <row r="30" spans="1:23" x14ac:dyDescent="0.2">
      <c r="A30" s="389"/>
      <c r="B30" s="7"/>
      <c r="C30" s="373"/>
      <c r="D30" s="374" t="s">
        <v>21</v>
      </c>
      <c r="E30" s="255">
        <v>0</v>
      </c>
      <c r="F30" s="375">
        <f>C30*E30</f>
        <v>0</v>
      </c>
      <c r="G30" s="531"/>
      <c r="H30" s="377">
        <v>0</v>
      </c>
      <c r="I30" s="375">
        <f>G30*H30</f>
        <v>0</v>
      </c>
      <c r="J30" s="624"/>
      <c r="K30" s="532">
        <f>F30+I30+J30</f>
        <v>0</v>
      </c>
      <c r="L30" s="380"/>
      <c r="M30" s="625"/>
      <c r="N30" s="382"/>
      <c r="O30" s="383"/>
      <c r="P30" s="384"/>
      <c r="Q30" s="385"/>
    </row>
    <row r="31" spans="1:23" x14ac:dyDescent="0.2">
      <c r="A31" s="389"/>
      <c r="B31" s="7"/>
      <c r="C31" s="373"/>
      <c r="D31" s="374" t="s">
        <v>21</v>
      </c>
      <c r="E31" s="255">
        <v>0</v>
      </c>
      <c r="F31" s="375">
        <f>C31*E31</f>
        <v>0</v>
      </c>
      <c r="G31" s="531"/>
      <c r="H31" s="377">
        <v>0</v>
      </c>
      <c r="I31" s="375">
        <f>G31*H31</f>
        <v>0</v>
      </c>
      <c r="J31" s="624"/>
      <c r="K31" s="532">
        <f>F31+I31+J31</f>
        <v>0</v>
      </c>
      <c r="L31" s="380"/>
      <c r="M31" s="625"/>
      <c r="N31" s="382"/>
      <c r="O31" s="383"/>
      <c r="P31" s="384"/>
      <c r="Q31" s="385"/>
    </row>
    <row r="32" spans="1:23" ht="13.5" thickBot="1" x14ac:dyDescent="0.25">
      <c r="A32" s="389"/>
      <c r="B32" s="7"/>
      <c r="C32" s="373"/>
      <c r="D32" s="374" t="s">
        <v>21</v>
      </c>
      <c r="E32" s="255">
        <v>0</v>
      </c>
      <c r="F32" s="375">
        <f>C32*E32</f>
        <v>0</v>
      </c>
      <c r="G32" s="531"/>
      <c r="H32" s="377">
        <v>0</v>
      </c>
      <c r="I32" s="375">
        <f>G32*H32</f>
        <v>0</v>
      </c>
      <c r="J32" s="624"/>
      <c r="K32" s="532">
        <f>F32+I32+J32</f>
        <v>0</v>
      </c>
      <c r="L32" s="380"/>
      <c r="M32" s="625"/>
      <c r="N32" s="382"/>
      <c r="O32" s="383"/>
      <c r="P32" s="384"/>
      <c r="Q32" s="385"/>
    </row>
    <row r="33" spans="1:17" ht="13.5" thickTop="1" x14ac:dyDescent="0.2">
      <c r="A33" s="389"/>
      <c r="B33" s="414"/>
      <c r="C33" s="390"/>
      <c r="D33" s="374"/>
      <c r="E33" s="255"/>
      <c r="F33" s="375"/>
      <c r="G33" s="531"/>
      <c r="H33" s="377"/>
      <c r="I33" s="375"/>
      <c r="J33" s="391" t="s">
        <v>30</v>
      </c>
      <c r="K33" s="534">
        <f>SUM(K30:K32)</f>
        <v>0</v>
      </c>
      <c r="L33" s="380"/>
      <c r="M33" s="625"/>
      <c r="N33" s="382"/>
      <c r="O33" s="383"/>
      <c r="P33" s="384"/>
      <c r="Q33" s="385"/>
    </row>
    <row r="34" spans="1:17" ht="13.5" thickBot="1" x14ac:dyDescent="0.25">
      <c r="A34" s="616" t="s">
        <v>0</v>
      </c>
      <c r="B34" s="617" t="s">
        <v>1</v>
      </c>
      <c r="C34" s="1065" t="s">
        <v>656</v>
      </c>
      <c r="D34" s="948"/>
      <c r="E34" s="948"/>
      <c r="F34" s="948"/>
      <c r="G34" s="948" t="s">
        <v>34</v>
      </c>
      <c r="H34" s="948"/>
      <c r="I34" s="948"/>
      <c r="J34" s="618"/>
      <c r="K34" s="525"/>
      <c r="L34" s="393"/>
      <c r="M34" s="626"/>
      <c r="N34" s="395"/>
      <c r="O34" s="383"/>
      <c r="P34" s="384"/>
      <c r="Q34" s="385"/>
    </row>
    <row r="35" spans="1:17" ht="16.5" thickBot="1" x14ac:dyDescent="0.3">
      <c r="A35" s="581" t="s">
        <v>219</v>
      </c>
      <c r="B35" s="582" t="s">
        <v>57</v>
      </c>
      <c r="C35" s="627" t="s">
        <v>19</v>
      </c>
      <c r="D35" s="627" t="s">
        <v>33</v>
      </c>
      <c r="E35" s="628" t="s">
        <v>35</v>
      </c>
      <c r="F35" s="629" t="s">
        <v>30</v>
      </c>
      <c r="G35" s="630" t="s">
        <v>14</v>
      </c>
      <c r="H35" s="628" t="s">
        <v>35</v>
      </c>
      <c r="I35" s="629" t="s">
        <v>30</v>
      </c>
      <c r="J35" s="622" t="s">
        <v>659</v>
      </c>
      <c r="K35" s="631" t="s">
        <v>38</v>
      </c>
      <c r="L35" s="404"/>
      <c r="M35" s="634"/>
      <c r="N35" s="411"/>
      <c r="O35" s="383"/>
      <c r="P35" s="384"/>
      <c r="Q35" s="385"/>
    </row>
    <row r="36" spans="1:17" x14ac:dyDescent="0.2">
      <c r="A36" s="389"/>
      <c r="B36" s="7"/>
      <c r="C36" s="441"/>
      <c r="D36" s="374" t="s">
        <v>21</v>
      </c>
      <c r="E36" s="255">
        <v>0</v>
      </c>
      <c r="F36" s="375">
        <f>C36*E36</f>
        <v>0</v>
      </c>
      <c r="G36" s="531"/>
      <c r="H36" s="377">
        <v>0</v>
      </c>
      <c r="I36" s="375">
        <f>G36*H36</f>
        <v>0</v>
      </c>
      <c r="J36" s="624"/>
      <c r="K36" s="532">
        <f>F36+I36+J36</f>
        <v>0</v>
      </c>
      <c r="O36" s="383"/>
      <c r="P36" s="384"/>
      <c r="Q36" s="385"/>
    </row>
    <row r="37" spans="1:17" x14ac:dyDescent="0.2">
      <c r="A37" s="389"/>
      <c r="B37" s="7"/>
      <c r="C37" s="441"/>
      <c r="D37" s="374" t="s">
        <v>21</v>
      </c>
      <c r="E37" s="255">
        <v>0</v>
      </c>
      <c r="F37" s="375">
        <f>C37*E37</f>
        <v>0</v>
      </c>
      <c r="G37" s="531"/>
      <c r="H37" s="377">
        <v>0</v>
      </c>
      <c r="I37" s="375">
        <f>G37*H37</f>
        <v>0</v>
      </c>
      <c r="J37" s="624"/>
      <c r="K37" s="532">
        <f>F37+I37+J37</f>
        <v>0</v>
      </c>
      <c r="L37" s="157"/>
      <c r="M37" s="633"/>
      <c r="O37" s="412"/>
      <c r="P37" s="413"/>
      <c r="Q37" s="385"/>
    </row>
    <row r="38" spans="1:17" ht="13.5" thickBot="1" x14ac:dyDescent="0.25">
      <c r="A38" s="389"/>
      <c r="B38" s="7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624"/>
      <c r="K38" s="532">
        <f>F38+I38+J38</f>
        <v>0</v>
      </c>
      <c r="L38" s="380"/>
      <c r="M38" s="303"/>
      <c r="N38" s="423"/>
      <c r="O38" s="412"/>
      <c r="P38" s="413"/>
      <c r="Q38" s="385"/>
    </row>
    <row r="39" spans="1:17" ht="13.5" thickTop="1" x14ac:dyDescent="0.2">
      <c r="A39" s="389"/>
      <c r="B39" s="414"/>
      <c r="C39" s="390"/>
      <c r="D39" s="374"/>
      <c r="E39" s="255"/>
      <c r="F39" s="375"/>
      <c r="G39" s="531"/>
      <c r="H39" s="377"/>
      <c r="I39" s="375"/>
      <c r="J39" s="391" t="s">
        <v>30</v>
      </c>
      <c r="K39" s="534">
        <f>SUM(K36:K38)</f>
        <v>0</v>
      </c>
      <c r="L39" s="380"/>
      <c r="M39" s="303"/>
      <c r="N39" s="423"/>
      <c r="O39" s="412"/>
      <c r="P39" s="413"/>
      <c r="Q39" s="385"/>
    </row>
    <row r="40" spans="1:17" ht="13.5" thickBot="1" x14ac:dyDescent="0.25">
      <c r="A40" s="616" t="s">
        <v>0</v>
      </c>
      <c r="B40" s="617" t="s">
        <v>1</v>
      </c>
      <c r="C40" s="1065" t="s">
        <v>656</v>
      </c>
      <c r="D40" s="948"/>
      <c r="E40" s="948"/>
      <c r="F40" s="948"/>
      <c r="G40" s="948" t="s">
        <v>34</v>
      </c>
      <c r="H40" s="948"/>
      <c r="I40" s="948"/>
      <c r="J40" s="618"/>
      <c r="K40" s="525"/>
      <c r="L40" s="393"/>
      <c r="M40" s="626"/>
      <c r="N40" s="395"/>
      <c r="O40" s="412"/>
      <c r="P40" s="413"/>
      <c r="Q40" s="385"/>
    </row>
    <row r="41" spans="1:17" ht="16.5" thickBot="1" x14ac:dyDescent="0.3">
      <c r="A41" s="581" t="s">
        <v>220</v>
      </c>
      <c r="B41" s="582" t="s">
        <v>221</v>
      </c>
      <c r="C41" s="627" t="s">
        <v>19</v>
      </c>
      <c r="D41" s="627" t="s">
        <v>33</v>
      </c>
      <c r="E41" s="628" t="s">
        <v>35</v>
      </c>
      <c r="F41" s="629" t="s">
        <v>30</v>
      </c>
      <c r="G41" s="630" t="s">
        <v>14</v>
      </c>
      <c r="H41" s="628" t="s">
        <v>35</v>
      </c>
      <c r="I41" s="629" t="s">
        <v>30</v>
      </c>
      <c r="J41" s="622" t="s">
        <v>659</v>
      </c>
      <c r="K41" s="631" t="s">
        <v>38</v>
      </c>
      <c r="L41" s="404"/>
      <c r="M41" s="634"/>
      <c r="N41" s="411"/>
      <c r="O41" s="412"/>
      <c r="P41" s="413"/>
      <c r="Q41" s="385"/>
    </row>
    <row r="42" spans="1:17" x14ac:dyDescent="0.2">
      <c r="A42" s="389"/>
      <c r="B42" s="7"/>
      <c r="C42" s="373"/>
      <c r="D42" s="374" t="s">
        <v>21</v>
      </c>
      <c r="E42" s="255">
        <v>0</v>
      </c>
      <c r="F42" s="375">
        <f>C42*E42</f>
        <v>0</v>
      </c>
      <c r="G42" s="531"/>
      <c r="H42" s="377">
        <v>0</v>
      </c>
      <c r="I42" s="375">
        <f>G42*H42</f>
        <v>0</v>
      </c>
      <c r="J42" s="624"/>
      <c r="K42" s="532">
        <f>F42+I42+J42</f>
        <v>0</v>
      </c>
      <c r="L42" s="380"/>
      <c r="M42" s="303"/>
      <c r="N42" s="423"/>
      <c r="O42" s="412"/>
      <c r="P42" s="413"/>
      <c r="Q42" s="385"/>
    </row>
    <row r="43" spans="1:17" x14ac:dyDescent="0.2">
      <c r="A43" s="389"/>
      <c r="B43" s="7"/>
      <c r="C43" s="373"/>
      <c r="D43" s="374" t="s">
        <v>21</v>
      </c>
      <c r="E43" s="255">
        <v>0</v>
      </c>
      <c r="F43" s="375">
        <f>C43*E43</f>
        <v>0</v>
      </c>
      <c r="G43" s="531"/>
      <c r="H43" s="377">
        <v>0</v>
      </c>
      <c r="I43" s="375">
        <f>G43*H43</f>
        <v>0</v>
      </c>
      <c r="J43" s="624"/>
      <c r="K43" s="532">
        <f>F43+I43+J43</f>
        <v>0</v>
      </c>
      <c r="L43" s="380"/>
      <c r="M43" s="303"/>
      <c r="N43" s="382"/>
      <c r="O43" s="383"/>
      <c r="P43" s="384"/>
      <c r="Q43" s="385"/>
    </row>
    <row r="44" spans="1:17" ht="13.5" thickBot="1" x14ac:dyDescent="0.25">
      <c r="A44" s="389"/>
      <c r="B44" s="7"/>
      <c r="C44" s="373"/>
      <c r="D44" s="374" t="s">
        <v>21</v>
      </c>
      <c r="E44" s="255">
        <v>0</v>
      </c>
      <c r="F44" s="375">
        <f>C44*E44</f>
        <v>0</v>
      </c>
      <c r="G44" s="531"/>
      <c r="H44" s="377">
        <v>0</v>
      </c>
      <c r="I44" s="375">
        <f>G44*H44</f>
        <v>0</v>
      </c>
      <c r="J44" s="624"/>
      <c r="K44" s="532">
        <f>F44+I44+J44</f>
        <v>0</v>
      </c>
      <c r="L44" s="157"/>
      <c r="M44" s="633"/>
      <c r="O44" s="383"/>
      <c r="P44" s="384"/>
      <c r="Q44" s="385"/>
    </row>
    <row r="45" spans="1:17" ht="13.5" thickTop="1" x14ac:dyDescent="0.2">
      <c r="A45" s="389"/>
      <c r="B45" s="414"/>
      <c r="C45" s="390"/>
      <c r="D45" s="374"/>
      <c r="E45" s="255"/>
      <c r="F45" s="375"/>
      <c r="G45" s="531"/>
      <c r="H45" s="377"/>
      <c r="I45" s="375"/>
      <c r="J45" s="391" t="s">
        <v>30</v>
      </c>
      <c r="K45" s="534">
        <f>SUM(K42:K44)</f>
        <v>0</v>
      </c>
      <c r="O45" s="383"/>
      <c r="P45" s="413"/>
      <c r="Q45" s="385"/>
    </row>
    <row r="46" spans="1:17" ht="13.5" thickBot="1" x14ac:dyDescent="0.25">
      <c r="A46" s="616" t="s">
        <v>0</v>
      </c>
      <c r="B46" s="617" t="s">
        <v>1</v>
      </c>
      <c r="C46" s="1065" t="s">
        <v>656</v>
      </c>
      <c r="D46" s="948"/>
      <c r="E46" s="948"/>
      <c r="F46" s="948"/>
      <c r="G46" s="948" t="s">
        <v>34</v>
      </c>
      <c r="H46" s="948"/>
      <c r="I46" s="948"/>
      <c r="J46" s="618"/>
      <c r="K46" s="525"/>
      <c r="L46" s="393"/>
      <c r="M46" s="618"/>
      <c r="N46" s="395"/>
      <c r="O46" s="383"/>
      <c r="P46" s="384"/>
      <c r="Q46" s="385"/>
    </row>
    <row r="47" spans="1:17" ht="16.5" thickBot="1" x14ac:dyDescent="0.3">
      <c r="A47" s="581" t="s">
        <v>222</v>
      </c>
      <c r="B47" s="582" t="s">
        <v>223</v>
      </c>
      <c r="C47" s="627" t="s">
        <v>19</v>
      </c>
      <c r="D47" s="627" t="s">
        <v>33</v>
      </c>
      <c r="E47" s="628" t="s">
        <v>35</v>
      </c>
      <c r="F47" s="629" t="s">
        <v>30</v>
      </c>
      <c r="G47" s="630" t="s">
        <v>14</v>
      </c>
      <c r="H47" s="628" t="s">
        <v>35</v>
      </c>
      <c r="I47" s="629" t="s">
        <v>30</v>
      </c>
      <c r="J47" s="622" t="s">
        <v>659</v>
      </c>
      <c r="K47" s="631" t="s">
        <v>38</v>
      </c>
      <c r="L47" s="404"/>
      <c r="M47" s="634"/>
      <c r="N47" s="406"/>
      <c r="O47" s="383"/>
      <c r="P47" s="384"/>
      <c r="Q47" s="385"/>
    </row>
    <row r="48" spans="1:17" x14ac:dyDescent="0.2">
      <c r="A48" s="389"/>
      <c r="B48" s="7"/>
      <c r="C48" s="441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624"/>
      <c r="K48" s="532">
        <f>F48+I48+J48</f>
        <v>0</v>
      </c>
      <c r="L48" s="380"/>
      <c r="M48" s="303"/>
      <c r="N48" s="382"/>
      <c r="O48" s="383"/>
      <c r="P48" s="384"/>
      <c r="Q48" s="385"/>
    </row>
    <row r="49" spans="1:17" ht="13.5" thickBot="1" x14ac:dyDescent="0.25">
      <c r="A49" s="389"/>
      <c r="B49" s="7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624"/>
      <c r="K49" s="532">
        <f>F49+I49+J49</f>
        <v>0</v>
      </c>
      <c r="L49" s="380"/>
      <c r="M49" s="303"/>
      <c r="N49" s="382"/>
      <c r="O49" s="383"/>
      <c r="P49" s="384"/>
      <c r="Q49" s="385"/>
    </row>
    <row r="50" spans="1:17" ht="13.5" thickTop="1" x14ac:dyDescent="0.2">
      <c r="A50" s="389"/>
      <c r="C50" s="390"/>
      <c r="D50" s="374"/>
      <c r="E50" s="255"/>
      <c r="F50" s="375"/>
      <c r="G50" s="531"/>
      <c r="H50" s="377"/>
      <c r="I50" s="375"/>
      <c r="J50" s="391" t="s">
        <v>30</v>
      </c>
      <c r="K50" s="534">
        <f>SUM(K48:K49)</f>
        <v>0</v>
      </c>
      <c r="L50" s="380"/>
      <c r="M50" s="303"/>
      <c r="N50" s="382"/>
      <c r="O50" s="383"/>
      <c r="P50" s="384"/>
      <c r="Q50" s="385"/>
    </row>
    <row r="51" spans="1:17" ht="13.5" thickBot="1" x14ac:dyDescent="0.25">
      <c r="A51" s="616" t="s">
        <v>0</v>
      </c>
      <c r="B51" s="617" t="s">
        <v>1</v>
      </c>
      <c r="C51" s="1065" t="s">
        <v>656</v>
      </c>
      <c r="D51" s="948"/>
      <c r="E51" s="948"/>
      <c r="F51" s="948"/>
      <c r="G51" s="948" t="s">
        <v>34</v>
      </c>
      <c r="H51" s="948"/>
      <c r="I51" s="948"/>
      <c r="J51" s="618"/>
      <c r="K51" s="525"/>
      <c r="L51" s="393"/>
      <c r="M51" s="618"/>
      <c r="N51" s="395"/>
      <c r="O51" s="383"/>
      <c r="P51" s="384"/>
      <c r="Q51" s="385"/>
    </row>
    <row r="52" spans="1:17" ht="16.5" thickBot="1" x14ac:dyDescent="0.3">
      <c r="A52" s="581" t="s">
        <v>224</v>
      </c>
      <c r="B52" s="582" t="s">
        <v>225</v>
      </c>
      <c r="C52" s="627" t="s">
        <v>19</v>
      </c>
      <c r="D52" s="627" t="s">
        <v>33</v>
      </c>
      <c r="E52" s="628" t="s">
        <v>35</v>
      </c>
      <c r="F52" s="629" t="s">
        <v>30</v>
      </c>
      <c r="G52" s="630" t="s">
        <v>14</v>
      </c>
      <c r="H52" s="628" t="s">
        <v>35</v>
      </c>
      <c r="I52" s="629" t="s">
        <v>30</v>
      </c>
      <c r="J52" s="622" t="s">
        <v>659</v>
      </c>
      <c r="K52" s="631" t="s">
        <v>38</v>
      </c>
      <c r="L52" s="404"/>
      <c r="M52" s="634"/>
      <c r="N52" s="406"/>
      <c r="O52" s="438"/>
      <c r="P52" s="439"/>
      <c r="Q52" s="385"/>
    </row>
    <row r="53" spans="1:17" x14ac:dyDescent="0.2">
      <c r="A53" s="389"/>
      <c r="B53" s="7"/>
      <c r="C53" s="373"/>
      <c r="D53" s="374" t="s">
        <v>21</v>
      </c>
      <c r="E53" s="255">
        <v>0</v>
      </c>
      <c r="F53" s="375">
        <f>C53*E53</f>
        <v>0</v>
      </c>
      <c r="G53" s="531"/>
      <c r="H53" s="377">
        <v>0</v>
      </c>
      <c r="I53" s="375">
        <f>G53*H53</f>
        <v>0</v>
      </c>
      <c r="J53" s="624"/>
      <c r="K53" s="532">
        <f>F53+I53+J53</f>
        <v>0</v>
      </c>
      <c r="L53" s="380"/>
      <c r="M53" s="303"/>
      <c r="N53" s="423"/>
      <c r="O53" s="438"/>
      <c r="P53" s="439"/>
      <c r="Q53" s="385"/>
    </row>
    <row r="54" spans="1:17" ht="13.5" thickBot="1" x14ac:dyDescent="0.25">
      <c r="A54" s="389"/>
      <c r="B54" s="7"/>
      <c r="C54" s="373"/>
      <c r="D54" s="374" t="s">
        <v>21</v>
      </c>
      <c r="E54" s="255">
        <v>0</v>
      </c>
      <c r="F54" s="375">
        <f>C54*E54</f>
        <v>0</v>
      </c>
      <c r="G54" s="531"/>
      <c r="H54" s="377">
        <v>0</v>
      </c>
      <c r="I54" s="375">
        <f>G54*H54</f>
        <v>0</v>
      </c>
      <c r="J54" s="624"/>
      <c r="K54" s="532">
        <f>F54+I54+J54</f>
        <v>0</v>
      </c>
      <c r="O54" s="412"/>
      <c r="P54" s="413"/>
      <c r="Q54" s="385"/>
    </row>
    <row r="55" spans="1:17" ht="13.5" thickTop="1" x14ac:dyDescent="0.2">
      <c r="A55" s="389"/>
      <c r="B55" s="414"/>
      <c r="C55" s="584"/>
      <c r="D55" s="374"/>
      <c r="E55" s="255"/>
      <c r="F55" s="375"/>
      <c r="G55" s="531"/>
      <c r="H55" s="377"/>
      <c r="I55" s="375"/>
      <c r="J55" s="391" t="s">
        <v>30</v>
      </c>
      <c r="K55" s="534">
        <f>SUM(K53:K54)</f>
        <v>0</v>
      </c>
      <c r="O55" s="383"/>
      <c r="P55" s="384"/>
      <c r="Q55" s="385"/>
    </row>
    <row r="56" spans="1:17" ht="13.5" thickBot="1" x14ac:dyDescent="0.25">
      <c r="A56" s="616" t="s">
        <v>0</v>
      </c>
      <c r="B56" s="617" t="s">
        <v>1</v>
      </c>
      <c r="C56" s="948" t="s">
        <v>656</v>
      </c>
      <c r="D56" s="948"/>
      <c r="E56" s="948"/>
      <c r="F56" s="948"/>
      <c r="G56" s="948" t="s">
        <v>34</v>
      </c>
      <c r="H56" s="948"/>
      <c r="I56" s="948"/>
      <c r="J56" s="618"/>
      <c r="K56" s="525"/>
      <c r="L56" s="393"/>
      <c r="M56" s="618"/>
      <c r="N56" s="440"/>
      <c r="O56" s="383"/>
      <c r="P56" s="384"/>
      <c r="Q56" s="385"/>
    </row>
    <row r="57" spans="1:17" ht="16.5" thickBot="1" x14ac:dyDescent="0.3">
      <c r="A57" s="581" t="s">
        <v>228</v>
      </c>
      <c r="B57" s="582" t="s">
        <v>226</v>
      </c>
      <c r="C57" s="627" t="s">
        <v>19</v>
      </c>
      <c r="D57" s="627" t="s">
        <v>33</v>
      </c>
      <c r="E57" s="628" t="s">
        <v>35</v>
      </c>
      <c r="F57" s="629" t="s">
        <v>30</v>
      </c>
      <c r="G57" s="630" t="s">
        <v>14</v>
      </c>
      <c r="H57" s="628" t="s">
        <v>35</v>
      </c>
      <c r="I57" s="629" t="s">
        <v>30</v>
      </c>
      <c r="J57" s="622" t="s">
        <v>659</v>
      </c>
      <c r="K57" s="631" t="s">
        <v>38</v>
      </c>
      <c r="L57" s="404"/>
      <c r="M57" s="634"/>
      <c r="N57" s="411"/>
      <c r="O57" s="383"/>
      <c r="P57" s="384"/>
      <c r="Q57" s="385"/>
    </row>
    <row r="58" spans="1:17" x14ac:dyDescent="0.2">
      <c r="A58" s="389"/>
      <c r="B58" s="7"/>
      <c r="C58" s="373"/>
      <c r="D58" s="374" t="s">
        <v>21</v>
      </c>
      <c r="E58" s="255">
        <v>0</v>
      </c>
      <c r="F58" s="375">
        <f>C58*E58</f>
        <v>0</v>
      </c>
      <c r="G58" s="531"/>
      <c r="H58" s="377">
        <v>0</v>
      </c>
      <c r="I58" s="375">
        <f>G58*H58</f>
        <v>0</v>
      </c>
      <c r="J58" s="624"/>
      <c r="K58" s="532">
        <f>F58+I58+J58</f>
        <v>0</v>
      </c>
      <c r="L58" s="380"/>
      <c r="M58" s="625"/>
      <c r="N58" s="382"/>
      <c r="O58" s="383"/>
      <c r="P58" s="384"/>
      <c r="Q58" s="385"/>
    </row>
    <row r="59" spans="1:17" ht="13.5" thickBot="1" x14ac:dyDescent="0.25">
      <c r="A59" s="389"/>
      <c r="B59" s="7"/>
      <c r="C59" s="373"/>
      <c r="D59" s="374" t="s">
        <v>21</v>
      </c>
      <c r="E59" s="255">
        <v>0</v>
      </c>
      <c r="F59" s="375">
        <f>C59*E59</f>
        <v>0</v>
      </c>
      <c r="G59" s="531"/>
      <c r="H59" s="377">
        <v>0</v>
      </c>
      <c r="I59" s="375">
        <f>G59*H59</f>
        <v>0</v>
      </c>
      <c r="J59" s="624"/>
      <c r="K59" s="532">
        <f>F59+I59+J59</f>
        <v>0</v>
      </c>
      <c r="L59" s="380"/>
      <c r="M59" s="625"/>
      <c r="N59" s="382"/>
      <c r="O59" s="383"/>
      <c r="P59" s="384"/>
      <c r="Q59" s="385"/>
    </row>
    <row r="60" spans="1:17" ht="14.25" thickTop="1" thickBot="1" x14ac:dyDescent="0.25">
      <c r="A60" s="472"/>
      <c r="B60" s="156"/>
      <c r="C60" s="473"/>
      <c r="D60" s="474"/>
      <c r="E60" s="635"/>
      <c r="F60" s="476"/>
      <c r="G60" s="636"/>
      <c r="H60" s="635"/>
      <c r="I60" s="476"/>
      <c r="J60" s="478" t="s">
        <v>30</v>
      </c>
      <c r="K60" s="637">
        <f>SUM(K58:K59)</f>
        <v>0</v>
      </c>
      <c r="L60" s="380"/>
      <c r="M60" s="625"/>
      <c r="N60" s="382"/>
      <c r="O60" s="383"/>
      <c r="P60" s="384"/>
      <c r="Q60" s="385"/>
    </row>
    <row r="61" spans="1:17" ht="13.5" thickBot="1" x14ac:dyDescent="0.25">
      <c r="A61" s="616" t="s">
        <v>0</v>
      </c>
      <c r="B61" s="617" t="s">
        <v>1</v>
      </c>
      <c r="C61" s="1065" t="s">
        <v>656</v>
      </c>
      <c r="D61" s="948"/>
      <c r="E61" s="948"/>
      <c r="F61" s="948"/>
      <c r="G61" s="948" t="s">
        <v>34</v>
      </c>
      <c r="H61" s="948"/>
      <c r="I61" s="948"/>
      <c r="J61" s="618"/>
      <c r="K61" s="525"/>
      <c r="L61" s="393"/>
      <c r="M61" s="626"/>
      <c r="N61" s="395"/>
      <c r="O61" s="383"/>
      <c r="P61" s="384"/>
      <c r="Q61" s="385"/>
    </row>
    <row r="62" spans="1:17" ht="16.5" thickBot="1" x14ac:dyDescent="0.3">
      <c r="A62" s="581" t="s">
        <v>229</v>
      </c>
      <c r="B62" s="582" t="s">
        <v>227</v>
      </c>
      <c r="C62" s="627" t="s">
        <v>19</v>
      </c>
      <c r="D62" s="627" t="s">
        <v>33</v>
      </c>
      <c r="E62" s="628" t="s">
        <v>35</v>
      </c>
      <c r="F62" s="629" t="s">
        <v>30</v>
      </c>
      <c r="G62" s="630" t="s">
        <v>14</v>
      </c>
      <c r="H62" s="628" t="s">
        <v>35</v>
      </c>
      <c r="I62" s="629" t="s">
        <v>30</v>
      </c>
      <c r="J62" s="622" t="s">
        <v>659</v>
      </c>
      <c r="K62" s="631" t="s">
        <v>38</v>
      </c>
      <c r="L62" s="404"/>
      <c r="M62" s="632"/>
      <c r="N62" s="406"/>
      <c r="O62" s="383"/>
      <c r="P62" s="384"/>
      <c r="Q62" s="385"/>
    </row>
    <row r="63" spans="1:17" x14ac:dyDescent="0.2">
      <c r="A63" s="389"/>
      <c r="B63" s="7"/>
      <c r="C63" s="373"/>
      <c r="D63" s="374" t="s">
        <v>21</v>
      </c>
      <c r="E63" s="255">
        <v>0</v>
      </c>
      <c r="F63" s="375">
        <f>C63*E63</f>
        <v>0</v>
      </c>
      <c r="G63" s="531"/>
      <c r="H63" s="377">
        <v>0</v>
      </c>
      <c r="I63" s="375">
        <f>G63*H63</f>
        <v>0</v>
      </c>
      <c r="J63" s="624"/>
      <c r="K63" s="532">
        <f>F63+I63+J63</f>
        <v>0</v>
      </c>
      <c r="O63" s="383"/>
      <c r="P63" s="384"/>
      <c r="Q63" s="385"/>
    </row>
    <row r="64" spans="1:17" x14ac:dyDescent="0.2">
      <c r="A64" s="389"/>
      <c r="B64" s="7"/>
      <c r="C64" s="441"/>
      <c r="D64" s="374" t="s">
        <v>21</v>
      </c>
      <c r="E64" s="255">
        <v>0</v>
      </c>
      <c r="F64" s="375">
        <f>C64*E64</f>
        <v>0</v>
      </c>
      <c r="G64" s="531"/>
      <c r="H64" s="377">
        <v>0</v>
      </c>
      <c r="I64" s="375">
        <f>G64*H64</f>
        <v>0</v>
      </c>
      <c r="J64" s="624"/>
      <c r="K64" s="532">
        <f>F64+I64+J64</f>
        <v>0</v>
      </c>
      <c r="O64" s="383"/>
      <c r="P64" s="384"/>
      <c r="Q64" s="385"/>
    </row>
    <row r="65" spans="1:17" ht="13.5" thickBot="1" x14ac:dyDescent="0.25">
      <c r="A65" s="389"/>
      <c r="B65" s="7"/>
      <c r="C65" s="441"/>
      <c r="D65" s="374" t="s">
        <v>21</v>
      </c>
      <c r="E65" s="255">
        <v>0</v>
      </c>
      <c r="F65" s="375">
        <f>C65*E65</f>
        <v>0</v>
      </c>
      <c r="G65" s="531"/>
      <c r="H65" s="377">
        <v>0</v>
      </c>
      <c r="I65" s="375">
        <f>G65*H65</f>
        <v>0</v>
      </c>
      <c r="J65" s="624"/>
      <c r="K65" s="532">
        <f>F65+I65+J65</f>
        <v>0</v>
      </c>
      <c r="O65" s="383"/>
      <c r="P65" s="384"/>
      <c r="Q65" s="385"/>
    </row>
    <row r="66" spans="1:17" ht="14.25" thickTop="1" thickBot="1" x14ac:dyDescent="0.25">
      <c r="A66" s="472"/>
      <c r="B66" s="156"/>
      <c r="C66" s="473"/>
      <c r="D66" s="474"/>
      <c r="E66" s="635"/>
      <c r="F66" s="476"/>
      <c r="G66" s="636"/>
      <c r="H66" s="635"/>
      <c r="I66" s="476"/>
      <c r="J66" s="478" t="s">
        <v>30</v>
      </c>
      <c r="K66" s="637">
        <f>SUM(K63:K65)</f>
        <v>0</v>
      </c>
      <c r="L66" s="380"/>
      <c r="M66" s="625"/>
      <c r="N66" s="382"/>
      <c r="O66" s="383"/>
      <c r="P66" s="384"/>
      <c r="Q66" s="385"/>
    </row>
    <row r="67" spans="1:17" ht="13.5" thickBot="1" x14ac:dyDescent="0.25">
      <c r="A67" s="616" t="s">
        <v>0</v>
      </c>
      <c r="B67" s="617" t="s">
        <v>1</v>
      </c>
      <c r="C67" s="1065" t="s">
        <v>656</v>
      </c>
      <c r="D67" s="948"/>
      <c r="E67" s="948"/>
      <c r="F67" s="948"/>
      <c r="G67" s="948" t="s">
        <v>34</v>
      </c>
      <c r="H67" s="948"/>
      <c r="I67" s="948"/>
      <c r="J67" s="618"/>
      <c r="K67" s="525"/>
      <c r="L67" s="393"/>
      <c r="M67" s="626"/>
      <c r="N67" s="395"/>
      <c r="O67" s="383"/>
      <c r="P67" s="384"/>
      <c r="Q67" s="385"/>
    </row>
    <row r="68" spans="1:17" ht="16.5" thickBot="1" x14ac:dyDescent="0.3">
      <c r="A68" s="581" t="s">
        <v>230</v>
      </c>
      <c r="B68" s="582" t="s">
        <v>231</v>
      </c>
      <c r="C68" s="627" t="s">
        <v>19</v>
      </c>
      <c r="D68" s="627" t="s">
        <v>33</v>
      </c>
      <c r="E68" s="628" t="s">
        <v>35</v>
      </c>
      <c r="F68" s="629" t="s">
        <v>30</v>
      </c>
      <c r="G68" s="630" t="s">
        <v>14</v>
      </c>
      <c r="H68" s="628" t="s">
        <v>35</v>
      </c>
      <c r="I68" s="629" t="s">
        <v>30</v>
      </c>
      <c r="J68" s="622" t="s">
        <v>659</v>
      </c>
      <c r="K68" s="631" t="s">
        <v>38</v>
      </c>
      <c r="L68" s="404"/>
      <c r="M68" s="632"/>
      <c r="N68" s="406"/>
      <c r="O68" s="383"/>
      <c r="P68" s="384"/>
      <c r="Q68" s="385"/>
    </row>
    <row r="69" spans="1:17" x14ac:dyDescent="0.2">
      <c r="A69" s="258" t="s">
        <v>232</v>
      </c>
      <c r="B69" s="258" t="s">
        <v>234</v>
      </c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624"/>
      <c r="K69" s="532">
        <f>F69+I69+J69</f>
        <v>0</v>
      </c>
      <c r="L69" s="380"/>
      <c r="M69" s="625"/>
      <c r="N69" s="382"/>
      <c r="O69" s="383"/>
      <c r="P69" s="384"/>
      <c r="Q69" s="385"/>
    </row>
    <row r="70" spans="1:17" x14ac:dyDescent="0.2">
      <c r="A70" s="258" t="s">
        <v>233</v>
      </c>
      <c r="B70" s="258" t="s">
        <v>235</v>
      </c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624"/>
      <c r="K70" s="532">
        <f>F70+I70+J70</f>
        <v>0</v>
      </c>
      <c r="L70" s="380"/>
      <c r="M70" s="625"/>
      <c r="N70" s="382"/>
      <c r="O70" s="383"/>
      <c r="P70" s="384"/>
      <c r="Q70" s="385"/>
    </row>
    <row r="71" spans="1:17" ht="13.5" thickBot="1" x14ac:dyDescent="0.25">
      <c r="A71" s="389"/>
      <c r="B71" s="7"/>
      <c r="C71" s="373"/>
      <c r="D71" s="374" t="s">
        <v>21</v>
      </c>
      <c r="E71" s="255">
        <v>0</v>
      </c>
      <c r="F71" s="375">
        <f>C71*E71</f>
        <v>0</v>
      </c>
      <c r="G71" s="531"/>
      <c r="H71" s="377">
        <v>0</v>
      </c>
      <c r="I71" s="375">
        <f>G71*H71</f>
        <v>0</v>
      </c>
      <c r="J71" s="624"/>
      <c r="K71" s="532">
        <f>F71+I71+J71</f>
        <v>0</v>
      </c>
      <c r="L71" s="380"/>
      <c r="M71" s="625"/>
      <c r="N71" s="382"/>
      <c r="O71" s="383"/>
      <c r="P71" s="384"/>
      <c r="Q71" s="385"/>
    </row>
    <row r="72" spans="1:17" ht="14.25" thickTop="1" thickBot="1" x14ac:dyDescent="0.25">
      <c r="A72" s="472"/>
      <c r="B72" s="156"/>
      <c r="C72" s="473"/>
      <c r="D72" s="474"/>
      <c r="E72" s="635"/>
      <c r="F72" s="476"/>
      <c r="G72" s="636"/>
      <c r="H72" s="635"/>
      <c r="I72" s="476"/>
      <c r="J72" s="478" t="s">
        <v>30</v>
      </c>
      <c r="K72" s="637">
        <f>SUM(K69:K71)</f>
        <v>0</v>
      </c>
      <c r="L72" s="380"/>
      <c r="M72" s="625"/>
      <c r="N72" s="382"/>
      <c r="O72" s="383"/>
      <c r="P72" s="384"/>
      <c r="Q72" s="385"/>
    </row>
    <row r="73" spans="1:17" ht="13.5" thickBot="1" x14ac:dyDescent="0.25">
      <c r="A73" s="616" t="s">
        <v>0</v>
      </c>
      <c r="B73" s="617" t="s">
        <v>1</v>
      </c>
      <c r="C73" s="1065" t="s">
        <v>656</v>
      </c>
      <c r="D73" s="948"/>
      <c r="E73" s="948"/>
      <c r="F73" s="948"/>
      <c r="G73" s="948" t="s">
        <v>34</v>
      </c>
      <c r="H73" s="948"/>
      <c r="I73" s="948"/>
      <c r="J73" s="618"/>
      <c r="K73" s="525"/>
      <c r="L73" s="393"/>
      <c r="M73" s="626"/>
      <c r="N73" s="395"/>
      <c r="O73" s="383"/>
      <c r="P73" s="384"/>
      <c r="Q73" s="385"/>
    </row>
    <row r="74" spans="1:17" ht="16.5" thickBot="1" x14ac:dyDescent="0.3">
      <c r="A74" s="581" t="s">
        <v>236</v>
      </c>
      <c r="B74" s="582" t="s">
        <v>237</v>
      </c>
      <c r="C74" s="627" t="s">
        <v>19</v>
      </c>
      <c r="D74" s="627" t="s">
        <v>33</v>
      </c>
      <c r="E74" s="628" t="s">
        <v>35</v>
      </c>
      <c r="F74" s="629" t="s">
        <v>30</v>
      </c>
      <c r="G74" s="630" t="s">
        <v>14</v>
      </c>
      <c r="H74" s="628" t="s">
        <v>35</v>
      </c>
      <c r="I74" s="629" t="s">
        <v>30</v>
      </c>
      <c r="J74" s="622" t="s">
        <v>659</v>
      </c>
      <c r="K74" s="631" t="s">
        <v>38</v>
      </c>
      <c r="L74" s="404"/>
      <c r="M74" s="632"/>
      <c r="N74" s="406"/>
      <c r="O74" s="383"/>
      <c r="P74" s="384"/>
      <c r="Q74" s="385"/>
    </row>
    <row r="75" spans="1:17" ht="15" x14ac:dyDescent="0.2">
      <c r="A75" s="888" t="s">
        <v>238</v>
      </c>
      <c r="B75" s="855" t="s">
        <v>239</v>
      </c>
      <c r="C75" s="889"/>
      <c r="D75" s="840" t="s">
        <v>21</v>
      </c>
      <c r="E75" s="841">
        <v>0</v>
      </c>
      <c r="F75" s="842">
        <f>C75*E75</f>
        <v>0</v>
      </c>
      <c r="G75" s="849"/>
      <c r="H75" s="844">
        <v>0</v>
      </c>
      <c r="I75" s="842">
        <f>G75*H75</f>
        <v>0</v>
      </c>
      <c r="J75" s="852">
        <f>M75</f>
        <v>8446</v>
      </c>
      <c r="K75" s="850">
        <f>F75+I75+J75</f>
        <v>8446</v>
      </c>
      <c r="L75" s="159" t="s">
        <v>1125</v>
      </c>
      <c r="M75" s="316">
        <v>8446</v>
      </c>
      <c r="O75" s="383"/>
      <c r="P75" s="384"/>
      <c r="Q75" s="385"/>
    </row>
    <row r="76" spans="1:17" x14ac:dyDescent="0.2">
      <c r="A76" s="389"/>
      <c r="B76" s="7"/>
      <c r="C76" s="441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624"/>
      <c r="K76" s="532">
        <f>F76+I76+J76</f>
        <v>0</v>
      </c>
      <c r="L76" s="380"/>
      <c r="M76" s="625"/>
      <c r="N76" s="382"/>
      <c r="O76" s="383"/>
      <c r="P76" s="384"/>
      <c r="Q76" s="385"/>
    </row>
    <row r="77" spans="1:17" ht="13.5" thickBot="1" x14ac:dyDescent="0.25">
      <c r="A77" s="389"/>
      <c r="B77" s="7"/>
      <c r="C77" s="373"/>
      <c r="D77" s="374"/>
      <c r="E77" s="255"/>
      <c r="F77" s="375"/>
      <c r="G77" s="531"/>
      <c r="H77" s="377"/>
      <c r="I77" s="375"/>
      <c r="J77" s="624"/>
      <c r="K77" s="532"/>
      <c r="L77" s="380"/>
      <c r="M77" s="625"/>
      <c r="N77" s="382"/>
      <c r="O77" s="383"/>
      <c r="P77" s="384"/>
      <c r="Q77" s="385"/>
    </row>
    <row r="78" spans="1:17" ht="14.25" thickTop="1" thickBot="1" x14ac:dyDescent="0.25">
      <c r="A78" s="472"/>
      <c r="B78" s="156"/>
      <c r="C78" s="473"/>
      <c r="D78" s="474"/>
      <c r="E78" s="635"/>
      <c r="F78" s="476"/>
      <c r="G78" s="636"/>
      <c r="H78" s="635"/>
      <c r="I78" s="476"/>
      <c r="J78" s="478" t="s">
        <v>30</v>
      </c>
      <c r="K78" s="637">
        <f>SUM(K75:K77)</f>
        <v>8446</v>
      </c>
      <c r="L78" s="380"/>
      <c r="M78" s="625"/>
      <c r="N78" s="382"/>
      <c r="O78" s="383"/>
      <c r="P78" s="384"/>
      <c r="Q78" s="385"/>
    </row>
    <row r="79" spans="1:17" ht="13.5" thickBot="1" x14ac:dyDescent="0.25">
      <c r="A79" s="616" t="s">
        <v>0</v>
      </c>
      <c r="B79" s="617" t="s">
        <v>1</v>
      </c>
      <c r="C79" s="1065" t="s">
        <v>656</v>
      </c>
      <c r="D79" s="948"/>
      <c r="E79" s="948"/>
      <c r="F79" s="948"/>
      <c r="G79" s="948" t="s">
        <v>34</v>
      </c>
      <c r="H79" s="948"/>
      <c r="I79" s="948"/>
      <c r="J79" s="618"/>
      <c r="K79" s="525"/>
      <c r="L79" s="393"/>
      <c r="M79" s="626"/>
      <c r="N79" s="395"/>
      <c r="O79" s="383"/>
      <c r="P79" s="384"/>
      <c r="Q79" s="385"/>
    </row>
    <row r="80" spans="1:17" ht="16.5" thickBot="1" x14ac:dyDescent="0.3">
      <c r="A80" s="581" t="s">
        <v>240</v>
      </c>
      <c r="B80" s="582" t="s">
        <v>241</v>
      </c>
      <c r="C80" s="627" t="s">
        <v>19</v>
      </c>
      <c r="D80" s="627" t="s">
        <v>33</v>
      </c>
      <c r="E80" s="628" t="s">
        <v>35</v>
      </c>
      <c r="F80" s="629" t="s">
        <v>30</v>
      </c>
      <c r="G80" s="630" t="s">
        <v>14</v>
      </c>
      <c r="H80" s="628" t="s">
        <v>35</v>
      </c>
      <c r="I80" s="629" t="s">
        <v>30</v>
      </c>
      <c r="J80" s="622" t="s">
        <v>659</v>
      </c>
      <c r="K80" s="631" t="s">
        <v>38</v>
      </c>
      <c r="L80" s="404"/>
      <c r="M80" s="632"/>
      <c r="N80" s="406"/>
      <c r="O80" s="383"/>
      <c r="P80" s="384"/>
      <c r="Q80" s="385"/>
    </row>
    <row r="81" spans="1:17" x14ac:dyDescent="0.2">
      <c r="A81" s="389"/>
      <c r="B81" s="7"/>
      <c r="C81" s="373"/>
      <c r="D81" s="374" t="s">
        <v>21</v>
      </c>
      <c r="E81" s="255">
        <v>0</v>
      </c>
      <c r="F81" s="375">
        <f>C81*E81</f>
        <v>0</v>
      </c>
      <c r="G81" s="531"/>
      <c r="H81" s="377">
        <v>0</v>
      </c>
      <c r="I81" s="375">
        <f>G81*H81</f>
        <v>0</v>
      </c>
      <c r="J81" s="624"/>
      <c r="K81" s="532">
        <f>F81+I81+J81</f>
        <v>0</v>
      </c>
      <c r="O81" s="383"/>
      <c r="P81" s="384"/>
      <c r="Q81" s="385"/>
    </row>
    <row r="82" spans="1:17" x14ac:dyDescent="0.2">
      <c r="A82" s="389"/>
      <c r="B82" s="7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624"/>
      <c r="K82" s="532">
        <f>F82+I82+J82</f>
        <v>0</v>
      </c>
      <c r="L82" s="380"/>
      <c r="M82" s="625"/>
      <c r="N82" s="382"/>
      <c r="O82" s="383"/>
      <c r="P82" s="384"/>
      <c r="Q82" s="385"/>
    </row>
    <row r="83" spans="1:17" ht="13.5" thickBot="1" x14ac:dyDescent="0.25">
      <c r="A83" s="389"/>
      <c r="B83" s="7"/>
      <c r="C83" s="441"/>
      <c r="D83" s="374"/>
      <c r="E83" s="255"/>
      <c r="F83" s="375"/>
      <c r="G83" s="531"/>
      <c r="H83" s="377"/>
      <c r="I83" s="375"/>
      <c r="J83" s="624"/>
      <c r="K83" s="532"/>
      <c r="O83" s="383"/>
      <c r="P83" s="384"/>
      <c r="Q83" s="385"/>
    </row>
    <row r="84" spans="1:17" ht="14.25" thickTop="1" thickBot="1" x14ac:dyDescent="0.25">
      <c r="A84" s="472"/>
      <c r="B84" s="156"/>
      <c r="C84" s="473"/>
      <c r="D84" s="474"/>
      <c r="E84" s="635"/>
      <c r="F84" s="476"/>
      <c r="G84" s="636"/>
      <c r="H84" s="635"/>
      <c r="I84" s="476"/>
      <c r="J84" s="478" t="s">
        <v>30</v>
      </c>
      <c r="K84" s="637">
        <f>SUM(K81:K83)</f>
        <v>0</v>
      </c>
      <c r="O84" s="383"/>
      <c r="P84" s="384"/>
      <c r="Q84" s="385"/>
    </row>
    <row r="85" spans="1:17" ht="13.5" thickBot="1" x14ac:dyDescent="0.25">
      <c r="A85" s="616" t="s">
        <v>0</v>
      </c>
      <c r="B85" s="617" t="s">
        <v>1</v>
      </c>
      <c r="C85" s="948" t="s">
        <v>656</v>
      </c>
      <c r="D85" s="948"/>
      <c r="E85" s="948"/>
      <c r="F85" s="948"/>
      <c r="G85" s="948" t="s">
        <v>34</v>
      </c>
      <c r="H85" s="948"/>
      <c r="I85" s="948"/>
      <c r="J85" s="618"/>
      <c r="K85" s="525"/>
      <c r="L85" s="393"/>
      <c r="M85" s="626"/>
      <c r="N85" s="395"/>
      <c r="O85" s="383"/>
      <c r="P85" s="384"/>
      <c r="Q85" s="385"/>
    </row>
    <row r="86" spans="1:17" ht="16.5" thickBot="1" x14ac:dyDescent="0.3">
      <c r="A86" s="396"/>
      <c r="B86" s="397"/>
      <c r="C86" s="640" t="s">
        <v>19</v>
      </c>
      <c r="D86" s="627" t="s">
        <v>33</v>
      </c>
      <c r="E86" s="628" t="s">
        <v>35</v>
      </c>
      <c r="F86" s="629" t="s">
        <v>30</v>
      </c>
      <c r="G86" s="630" t="s">
        <v>14</v>
      </c>
      <c r="H86" s="628" t="s">
        <v>35</v>
      </c>
      <c r="I86" s="629" t="s">
        <v>30</v>
      </c>
      <c r="J86" s="622" t="s">
        <v>659</v>
      </c>
      <c r="K86" s="631" t="s">
        <v>38</v>
      </c>
      <c r="L86" s="404"/>
      <c r="M86" s="632"/>
      <c r="N86" s="406"/>
      <c r="O86" s="383"/>
      <c r="P86" s="384"/>
      <c r="Q86" s="385"/>
    </row>
    <row r="87" spans="1:17" x14ac:dyDescent="0.2">
      <c r="A87" s="641"/>
      <c r="B87" s="642"/>
      <c r="C87" s="373"/>
      <c r="D87" s="374" t="s">
        <v>21</v>
      </c>
      <c r="E87" s="255">
        <v>0</v>
      </c>
      <c r="F87" s="375">
        <f>C87*E87</f>
        <v>0</v>
      </c>
      <c r="G87" s="531"/>
      <c r="H87" s="377">
        <v>0</v>
      </c>
      <c r="I87" s="375">
        <f>G87*H87</f>
        <v>0</v>
      </c>
      <c r="J87" s="624"/>
      <c r="K87" s="532">
        <f>F87+I87+J87</f>
        <v>0</v>
      </c>
      <c r="L87" s="380"/>
      <c r="M87" s="625"/>
      <c r="N87" s="382"/>
      <c r="O87" s="383"/>
      <c r="P87" s="384"/>
      <c r="Q87" s="385"/>
    </row>
    <row r="88" spans="1:17" x14ac:dyDescent="0.2">
      <c r="A88" s="389"/>
      <c r="B88" s="7"/>
      <c r="C88" s="373"/>
      <c r="D88" s="374" t="s">
        <v>21</v>
      </c>
      <c r="E88" s="255">
        <v>0</v>
      </c>
      <c r="F88" s="375">
        <f>C88*E88</f>
        <v>0</v>
      </c>
      <c r="G88" s="531"/>
      <c r="H88" s="377">
        <v>0</v>
      </c>
      <c r="I88" s="375">
        <f>G88*H88</f>
        <v>0</v>
      </c>
      <c r="J88" s="624"/>
      <c r="K88" s="532">
        <f>F88+I88+J88</f>
        <v>0</v>
      </c>
      <c r="L88" s="380"/>
      <c r="M88" s="625"/>
      <c r="N88" s="382"/>
      <c r="O88" s="383"/>
      <c r="P88" s="384"/>
      <c r="Q88" s="385"/>
    </row>
    <row r="89" spans="1:17" ht="13.5" thickBot="1" x14ac:dyDescent="0.25">
      <c r="A89" s="389"/>
      <c r="B89" s="7"/>
      <c r="C89" s="373"/>
      <c r="D89" s="374"/>
      <c r="E89" s="255"/>
      <c r="F89" s="375"/>
      <c r="G89" s="531"/>
      <c r="H89" s="377"/>
      <c r="I89" s="375"/>
      <c r="J89" s="624"/>
      <c r="K89" s="532"/>
      <c r="L89" s="380"/>
      <c r="M89" s="625"/>
      <c r="N89" s="382"/>
      <c r="O89" s="383"/>
      <c r="P89" s="384"/>
      <c r="Q89" s="385"/>
    </row>
    <row r="90" spans="1:17" ht="14.25" thickTop="1" thickBot="1" x14ac:dyDescent="0.25">
      <c r="A90" s="472"/>
      <c r="B90" s="156"/>
      <c r="C90" s="473"/>
      <c r="D90" s="474"/>
      <c r="E90" s="635"/>
      <c r="F90" s="476"/>
      <c r="G90" s="636"/>
      <c r="H90" s="635"/>
      <c r="I90" s="476"/>
      <c r="J90" s="478" t="s">
        <v>30</v>
      </c>
      <c r="K90" s="637">
        <f>SUM(K87:K89)</f>
        <v>0</v>
      </c>
      <c r="L90" s="585"/>
      <c r="M90" s="643"/>
      <c r="N90" s="587"/>
      <c r="O90" s="462"/>
      <c r="P90" s="463"/>
      <c r="Q90" s="464"/>
    </row>
    <row r="91" spans="1:17" ht="14.1" customHeight="1" x14ac:dyDescent="0.25">
      <c r="A91" s="480"/>
      <c r="B91" s="481"/>
      <c r="C91" s="482"/>
      <c r="D91" s="482"/>
      <c r="E91" s="644"/>
      <c r="F91" s="1077" t="s">
        <v>658</v>
      </c>
      <c r="G91" s="1001" t="s">
        <v>682</v>
      </c>
      <c r="H91" s="644"/>
      <c r="I91" s="1074" t="s">
        <v>657</v>
      </c>
      <c r="J91" s="967" t="s">
        <v>683</v>
      </c>
      <c r="K91" s="1066" t="s">
        <v>31</v>
      </c>
    </row>
    <row r="92" spans="1:17" ht="15" x14ac:dyDescent="0.25">
      <c r="A92" s="484" t="s">
        <v>32</v>
      </c>
      <c r="B92" s="1076" t="s">
        <v>27</v>
      </c>
      <c r="C92" s="485"/>
      <c r="D92" s="645"/>
      <c r="E92" s="645"/>
      <c r="F92" s="1078"/>
      <c r="G92" s="1002"/>
      <c r="H92" s="646"/>
      <c r="I92" s="1075"/>
      <c r="J92" s="968"/>
      <c r="K92" s="1067"/>
    </row>
    <row r="93" spans="1:17" ht="15" x14ac:dyDescent="0.25">
      <c r="A93" s="830">
        <f>K94/E6</f>
        <v>0</v>
      </c>
      <c r="B93" s="1076"/>
      <c r="C93" s="645"/>
      <c r="D93" s="645"/>
      <c r="E93" s="645"/>
      <c r="F93" s="1068">
        <f>SUM(F87:F89,F81:F83,F75:F77,F69:F71,F63:F65,F58:F59,F53:F54,F48:F49,F42:F44,F36:F38,F30:F32,F25:F26,F19:F21,F11:F15)</f>
        <v>0</v>
      </c>
      <c r="G93" s="1070">
        <f>SUM(G87:G89,G81:G83,G75:G77,G69:G71,G63:G65,G58:G59,G53:G54,G48:G49,G42:G44,G36:G38,G30:G32,G25:G26,G19:G21,G11:G15)</f>
        <v>0</v>
      </c>
      <c r="H93" s="646"/>
      <c r="I93" s="1068">
        <f>SUM(I87:I89,I81:I83,I75:I77,I69:I71,I63:I65,I58:I59,I53:I54,I48:I49,I42:I44,I36:I38,I30:I32,I25:I26,I19:I21,I11:I15)</f>
        <v>0</v>
      </c>
      <c r="J93" s="1068">
        <f>SUM(J87:J89,J81:J83,J75:J77,J69:J71,J63:J65,J58:J59,J53:J54,J48:J49,J42:J44,J36:J38,J30:J32,J25:J26,J19:J21,J11:J15)</f>
        <v>8446</v>
      </c>
      <c r="K93" s="1072">
        <f>K90+K84+K78+K72+K66+K60+K55+K50+K45+K39+K33+K27+K22+K16</f>
        <v>8446</v>
      </c>
    </row>
    <row r="94" spans="1:17" ht="15" thickBot="1" x14ac:dyDescent="0.25">
      <c r="A94" s="484"/>
      <c r="B94" s="552"/>
      <c r="C94" s="490"/>
      <c r="D94" s="490"/>
      <c r="E94" s="490"/>
      <c r="F94" s="1069"/>
      <c r="G94" s="1071"/>
      <c r="H94" s="490"/>
      <c r="I94" s="1069"/>
      <c r="J94" s="1069"/>
      <c r="K94" s="1073"/>
    </row>
    <row r="95" spans="1:17" ht="13.5" thickBot="1" x14ac:dyDescent="0.25">
      <c r="A95" s="491"/>
      <c r="B95" s="492"/>
      <c r="C95" s="492"/>
      <c r="D95" s="492"/>
      <c r="E95" s="492"/>
      <c r="F95" s="492"/>
      <c r="G95" s="492"/>
      <c r="H95" s="492"/>
      <c r="I95" s="492"/>
      <c r="J95" s="492"/>
      <c r="K95" s="493"/>
    </row>
  </sheetData>
  <mergeCells count="6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17:F17"/>
    <mergeCell ref="G17:I17"/>
    <mergeCell ref="C23:F23"/>
    <mergeCell ref="G23:I23"/>
    <mergeCell ref="C28:F28"/>
    <mergeCell ref="G28:I28"/>
    <mergeCell ref="C34:F34"/>
    <mergeCell ref="G34:I34"/>
    <mergeCell ref="C40:F40"/>
    <mergeCell ref="G40:I40"/>
    <mergeCell ref="C46:F46"/>
    <mergeCell ref="G46:I46"/>
    <mergeCell ref="B92:B93"/>
    <mergeCell ref="C51:F51"/>
    <mergeCell ref="G51:I51"/>
    <mergeCell ref="C56:F56"/>
    <mergeCell ref="G56:I56"/>
    <mergeCell ref="C79:F79"/>
    <mergeCell ref="G79:I79"/>
    <mergeCell ref="C85:F85"/>
    <mergeCell ref="G85:I85"/>
    <mergeCell ref="F91:F92"/>
    <mergeCell ref="C61:F61"/>
    <mergeCell ref="G61:I61"/>
    <mergeCell ref="C67:F67"/>
    <mergeCell ref="G67:I67"/>
    <mergeCell ref="C73:F73"/>
    <mergeCell ref="G73:I73"/>
    <mergeCell ref="K91:K92"/>
    <mergeCell ref="F93:F94"/>
    <mergeCell ref="G93:G94"/>
    <mergeCell ref="I93:I94"/>
    <mergeCell ref="J93:J94"/>
    <mergeCell ref="K93:K94"/>
    <mergeCell ref="J91:J92"/>
    <mergeCell ref="G91:G92"/>
    <mergeCell ref="I91:I92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7" top="0.75" bottom="0.75" header="0.5" footer="0.5"/>
  <pageSetup scale="65" fitToHeight="2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110"/>
  <sheetViews>
    <sheetView topLeftCell="A62" zoomScale="90" zoomScaleNormal="75" zoomScaleSheetLayoutView="90" zoomScalePageLayoutView="75" workbookViewId="0">
      <selection activeCell="M78" sqref="M78"/>
    </sheetView>
  </sheetViews>
  <sheetFormatPr defaultColWidth="9.140625" defaultRowHeight="12.75" x14ac:dyDescent="0.2"/>
  <cols>
    <col min="1" max="1" width="12.85546875" style="157" bestFit="1" customWidth="1"/>
    <col min="2" max="2" width="46" style="157" customWidth="1"/>
    <col min="3" max="4" width="5" style="442" customWidth="1"/>
    <col min="5" max="5" width="11.42578125" style="157" bestFit="1" customWidth="1"/>
    <col min="6" max="6" width="12.5703125" style="157" bestFit="1" customWidth="1"/>
    <col min="7" max="7" width="8.5703125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customWidth="1"/>
    <col min="12" max="12" width="17.85546875" style="159" bestFit="1" customWidth="1"/>
    <col min="13" max="13" width="14" style="316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611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3">
      <c r="A4" s="982"/>
      <c r="B4" s="983"/>
      <c r="C4" s="516"/>
      <c r="D4" s="993"/>
      <c r="E4" s="993"/>
      <c r="F4" s="993"/>
      <c r="G4" s="612"/>
      <c r="H4" s="612"/>
      <c r="I4" s="611"/>
      <c r="J4" s="331"/>
      <c r="K4" s="332"/>
      <c r="L4" s="1011"/>
      <c r="M4" s="1012"/>
      <c r="N4" s="994"/>
      <c r="O4" s="994"/>
      <c r="P4" s="946"/>
    </row>
    <row r="5" spans="1:17" ht="21" thickBot="1" x14ac:dyDescent="0.35">
      <c r="A5" s="613"/>
      <c r="B5" s="614"/>
      <c r="C5" s="518"/>
      <c r="D5" s="615"/>
      <c r="E5" s="343"/>
      <c r="F5" s="612"/>
      <c r="G5" s="1079" t="s">
        <v>243</v>
      </c>
      <c r="H5" s="1080"/>
      <c r="I5" s="1081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35">
      <c r="A6" s="613"/>
      <c r="B6" s="614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1082"/>
      <c r="H6" s="1083"/>
      <c r="I6" s="1084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85"/>
      <c r="D9" s="1085"/>
      <c r="E9" s="1086"/>
      <c r="F9" s="1086"/>
      <c r="G9" s="1087"/>
      <c r="H9" s="1086"/>
      <c r="I9" s="1086"/>
      <c r="J9" s="1086"/>
      <c r="K9" s="1088"/>
      <c r="L9" s="470"/>
      <c r="M9" s="650"/>
      <c r="N9" s="415"/>
      <c r="O9" s="416"/>
      <c r="P9" s="416"/>
    </row>
    <row r="10" spans="1:17" ht="13.5" thickBot="1" x14ac:dyDescent="0.25">
      <c r="A10" s="651"/>
      <c r="B10" s="652"/>
      <c r="C10" s="1085"/>
      <c r="D10" s="1085"/>
      <c r="E10" s="1086"/>
      <c r="F10" s="1086"/>
      <c r="G10" s="1087"/>
      <c r="H10" s="1086"/>
      <c r="I10" s="1086"/>
      <c r="J10" s="1086"/>
      <c r="K10" s="1088"/>
      <c r="L10" s="470"/>
      <c r="M10" s="650"/>
      <c r="N10" s="415"/>
      <c r="O10" s="416"/>
      <c r="P10" s="416"/>
    </row>
    <row r="11" spans="1:17" ht="14.25" thickTop="1" thickBot="1" x14ac:dyDescent="0.25">
      <c r="A11" s="616" t="s">
        <v>0</v>
      </c>
      <c r="B11" s="617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618"/>
      <c r="K11" s="525"/>
      <c r="L11" s="1055" t="s">
        <v>780</v>
      </c>
      <c r="M11" s="1057" t="s">
        <v>781</v>
      </c>
      <c r="N11" s="1059" t="s">
        <v>782</v>
      </c>
      <c r="O11" s="1061"/>
      <c r="P11" s="1063"/>
      <c r="Q11" s="1053"/>
    </row>
    <row r="12" spans="1:17" ht="16.5" thickBot="1" x14ac:dyDescent="0.3">
      <c r="A12" s="581" t="s">
        <v>244</v>
      </c>
      <c r="B12" s="582" t="s">
        <v>245</v>
      </c>
      <c r="C12" s="619" t="s">
        <v>19</v>
      </c>
      <c r="D12" s="619" t="s">
        <v>33</v>
      </c>
      <c r="E12" s="447" t="s">
        <v>35</v>
      </c>
      <c r="F12" s="620" t="s">
        <v>30</v>
      </c>
      <c r="G12" s="621" t="s">
        <v>14</v>
      </c>
      <c r="H12" s="447" t="s">
        <v>35</v>
      </c>
      <c r="I12" s="620" t="s">
        <v>30</v>
      </c>
      <c r="J12" s="622" t="s">
        <v>659</v>
      </c>
      <c r="K12" s="623" t="s">
        <v>38</v>
      </c>
      <c r="L12" s="1056"/>
      <c r="M12" s="1058"/>
      <c r="N12" s="1060"/>
      <c r="O12" s="1062"/>
      <c r="P12" s="1064"/>
      <c r="Q12" s="1054"/>
    </row>
    <row r="13" spans="1:17" ht="25.5" x14ac:dyDescent="0.2">
      <c r="A13" s="856" t="s">
        <v>246</v>
      </c>
      <c r="B13" s="886" t="s">
        <v>1116</v>
      </c>
      <c r="C13" s="839">
        <v>5</v>
      </c>
      <c r="D13" s="840" t="s">
        <v>910</v>
      </c>
      <c r="E13" s="841">
        <v>1500</v>
      </c>
      <c r="F13" s="842">
        <v>0</v>
      </c>
      <c r="G13" s="849">
        <f>7*4</f>
        <v>28</v>
      </c>
      <c r="H13" s="844">
        <v>65</v>
      </c>
      <c r="I13" s="842">
        <f>G13*H13</f>
        <v>1820</v>
      </c>
      <c r="J13" s="852">
        <f>M15</f>
        <v>18665</v>
      </c>
      <c r="K13" s="850">
        <f>F13+I13+J13</f>
        <v>20485</v>
      </c>
      <c r="L13" s="380" t="s">
        <v>1104</v>
      </c>
      <c r="M13" s="625">
        <v>21000</v>
      </c>
      <c r="N13" s="382"/>
      <c r="O13" s="383"/>
      <c r="P13" s="384"/>
      <c r="Q13" s="385"/>
    </row>
    <row r="14" spans="1:17" ht="25.5" x14ac:dyDescent="0.2">
      <c r="A14" s="157" t="s">
        <v>247</v>
      </c>
      <c r="B14" s="886" t="s">
        <v>1114</v>
      </c>
      <c r="C14" s="373">
        <v>1</v>
      </c>
      <c r="D14" s="374" t="s">
        <v>910</v>
      </c>
      <c r="E14" s="255">
        <v>1000</v>
      </c>
      <c r="F14" s="375">
        <v>0</v>
      </c>
      <c r="G14" s="531"/>
      <c r="H14" s="377">
        <v>0</v>
      </c>
      <c r="I14" s="375">
        <f>G14*H14</f>
        <v>0</v>
      </c>
      <c r="J14" s="624"/>
      <c r="K14" s="532">
        <f>F14+I14+J14</f>
        <v>0</v>
      </c>
      <c r="L14" s="380" t="s">
        <v>1105</v>
      </c>
      <c r="M14" s="625"/>
      <c r="N14" s="382"/>
      <c r="O14" s="383"/>
      <c r="P14" s="384"/>
      <c r="Q14" s="385"/>
    </row>
    <row r="15" spans="1:17" ht="25.5" x14ac:dyDescent="0.2">
      <c r="A15" s="258"/>
      <c r="B15" s="886" t="s">
        <v>1115</v>
      </c>
      <c r="C15" s="373">
        <v>1</v>
      </c>
      <c r="D15" s="374" t="s">
        <v>910</v>
      </c>
      <c r="E15" s="255">
        <v>1200</v>
      </c>
      <c r="F15" s="375">
        <v>0</v>
      </c>
      <c r="G15" s="531"/>
      <c r="H15" s="377">
        <v>0</v>
      </c>
      <c r="I15" s="375">
        <f>G15*H15</f>
        <v>0</v>
      </c>
      <c r="J15" s="624"/>
      <c r="K15" s="532">
        <f>F15+I15+J15</f>
        <v>0</v>
      </c>
      <c r="L15" s="380" t="s">
        <v>1099</v>
      </c>
      <c r="M15" s="625">
        <v>18665</v>
      </c>
      <c r="N15" s="382"/>
      <c r="O15" s="383"/>
      <c r="P15" s="384"/>
      <c r="Q15" s="385"/>
    </row>
    <row r="16" spans="1:17" x14ac:dyDescent="0.2">
      <c r="A16" s="372"/>
      <c r="B16" s="5"/>
      <c r="C16" s="373"/>
      <c r="D16" s="374" t="s">
        <v>21</v>
      </c>
      <c r="E16" s="255">
        <v>0</v>
      </c>
      <c r="F16" s="375">
        <f>C16*E16</f>
        <v>0</v>
      </c>
      <c r="G16" s="531"/>
      <c r="H16" s="377">
        <v>0</v>
      </c>
      <c r="I16" s="375">
        <f>G16*H16</f>
        <v>0</v>
      </c>
      <c r="J16" s="624"/>
      <c r="K16" s="532">
        <f>F16+I16+J16</f>
        <v>0</v>
      </c>
      <c r="L16" s="380"/>
      <c r="M16" s="625"/>
      <c r="N16" s="382"/>
      <c r="O16" s="383"/>
      <c r="P16" s="384"/>
      <c r="Q16" s="385"/>
    </row>
    <row r="17" spans="1:23" ht="13.5" thickBot="1" x14ac:dyDescent="0.25">
      <c r="A17" s="389"/>
      <c r="B17" s="7"/>
      <c r="C17" s="390"/>
      <c r="D17" s="374"/>
      <c r="E17" s="255"/>
      <c r="F17" s="375"/>
      <c r="G17" s="531"/>
      <c r="H17" s="377"/>
      <c r="I17" s="375"/>
      <c r="J17" s="624"/>
      <c r="K17" s="532"/>
      <c r="L17" s="380"/>
      <c r="M17" s="625"/>
      <c r="N17" s="382"/>
      <c r="O17" s="383"/>
      <c r="P17" s="384"/>
      <c r="Q17" s="385"/>
    </row>
    <row r="18" spans="1:23" ht="13.5" thickTop="1" x14ac:dyDescent="0.2">
      <c r="A18" s="389"/>
      <c r="B18" s="7"/>
      <c r="C18" s="390"/>
      <c r="D18" s="374"/>
      <c r="E18" s="255"/>
      <c r="F18" s="375"/>
      <c r="G18" s="531"/>
      <c r="H18" s="377"/>
      <c r="I18" s="375"/>
      <c r="J18" s="391" t="s">
        <v>30</v>
      </c>
      <c r="K18" s="534">
        <f>SUM(K13:K17)</f>
        <v>20485</v>
      </c>
      <c r="L18" s="380"/>
      <c r="M18" s="625"/>
      <c r="N18" s="382"/>
      <c r="O18" s="383"/>
      <c r="P18" s="384"/>
      <c r="Q18" s="385"/>
    </row>
    <row r="19" spans="1:23" ht="13.5" thickBot="1" x14ac:dyDescent="0.25">
      <c r="A19" s="616" t="s">
        <v>0</v>
      </c>
      <c r="B19" s="617" t="s">
        <v>1</v>
      </c>
      <c r="C19" s="948" t="s">
        <v>656</v>
      </c>
      <c r="D19" s="948"/>
      <c r="E19" s="948"/>
      <c r="F19" s="948"/>
      <c r="G19" s="948" t="s">
        <v>34</v>
      </c>
      <c r="H19" s="948"/>
      <c r="I19" s="948"/>
      <c r="J19" s="618"/>
      <c r="K19" s="525"/>
      <c r="L19" s="393"/>
      <c r="M19" s="626"/>
      <c r="N19" s="395"/>
      <c r="O19" s="383"/>
      <c r="P19" s="384"/>
      <c r="Q19" s="385"/>
    </row>
    <row r="20" spans="1:23" ht="16.5" thickBot="1" x14ac:dyDescent="0.3">
      <c r="A20" s="581" t="s">
        <v>248</v>
      </c>
      <c r="B20" s="582" t="s">
        <v>249</v>
      </c>
      <c r="C20" s="627" t="s">
        <v>19</v>
      </c>
      <c r="D20" s="627" t="s">
        <v>33</v>
      </c>
      <c r="E20" s="628" t="s">
        <v>35</v>
      </c>
      <c r="F20" s="629" t="s">
        <v>30</v>
      </c>
      <c r="G20" s="630" t="s">
        <v>14</v>
      </c>
      <c r="H20" s="628" t="s">
        <v>35</v>
      </c>
      <c r="I20" s="629" t="s">
        <v>30</v>
      </c>
      <c r="J20" s="622" t="s">
        <v>659</v>
      </c>
      <c r="K20" s="631" t="s">
        <v>38</v>
      </c>
      <c r="L20" s="404"/>
      <c r="M20" s="632"/>
      <c r="N20" s="406"/>
      <c r="O20" s="383"/>
      <c r="P20" s="384"/>
      <c r="Q20" s="385"/>
    </row>
    <row r="21" spans="1:23" x14ac:dyDescent="0.2">
      <c r="A21" s="389"/>
      <c r="B21" s="7"/>
      <c r="C21" s="373"/>
      <c r="D21" s="374" t="s">
        <v>21</v>
      </c>
      <c r="E21" s="255">
        <v>0</v>
      </c>
      <c r="F21" s="375">
        <f>C21*E21</f>
        <v>0</v>
      </c>
      <c r="G21" s="531"/>
      <c r="H21" s="377">
        <v>0</v>
      </c>
      <c r="I21" s="375">
        <f>G21*H21</f>
        <v>0</v>
      </c>
      <c r="J21" s="624"/>
      <c r="K21" s="532">
        <f>F21+I21+J21</f>
        <v>0</v>
      </c>
      <c r="L21" s="157"/>
      <c r="M21" s="633"/>
      <c r="O21" s="383"/>
      <c r="P21" s="384"/>
      <c r="Q21" s="385"/>
    </row>
    <row r="22" spans="1:23" x14ac:dyDescent="0.2">
      <c r="A22" s="389"/>
      <c r="B22" s="7"/>
      <c r="C22" s="373"/>
      <c r="D22" s="374" t="s">
        <v>21</v>
      </c>
      <c r="E22" s="255">
        <v>0</v>
      </c>
      <c r="F22" s="375">
        <f>C22*E22</f>
        <v>0</v>
      </c>
      <c r="G22" s="531"/>
      <c r="H22" s="377">
        <v>0</v>
      </c>
      <c r="I22" s="375">
        <f>G22*H22</f>
        <v>0</v>
      </c>
      <c r="J22" s="624"/>
      <c r="K22" s="532">
        <f>F22+I22+J22</f>
        <v>0</v>
      </c>
      <c r="O22" s="383"/>
      <c r="P22" s="384"/>
      <c r="Q22" s="385"/>
    </row>
    <row r="23" spans="1:23" ht="13.5" thickBot="1" x14ac:dyDescent="0.25">
      <c r="A23" s="389"/>
      <c r="B23" s="7"/>
      <c r="C23" s="373"/>
      <c r="D23" s="374" t="s">
        <v>21</v>
      </c>
      <c r="E23" s="255">
        <v>0</v>
      </c>
      <c r="F23" s="375">
        <f>C23*E23</f>
        <v>0</v>
      </c>
      <c r="G23" s="531"/>
      <c r="H23" s="377">
        <v>0</v>
      </c>
      <c r="I23" s="375">
        <f>G23*H23</f>
        <v>0</v>
      </c>
      <c r="J23" s="624"/>
      <c r="K23" s="532">
        <f>F23+I23+J23</f>
        <v>0</v>
      </c>
      <c r="L23" s="380"/>
      <c r="M23" s="625"/>
      <c r="N23" s="382"/>
      <c r="O23" s="383"/>
      <c r="P23" s="384"/>
      <c r="Q23" s="385"/>
    </row>
    <row r="24" spans="1:23" s="159" customFormat="1" ht="13.5" thickTop="1" x14ac:dyDescent="0.2">
      <c r="A24" s="389"/>
      <c r="B24" s="5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SUM(K21:K23)</f>
        <v>0</v>
      </c>
      <c r="L24" s="380"/>
      <c r="M24" s="625"/>
      <c r="N24" s="382"/>
      <c r="O24" s="383"/>
      <c r="P24" s="384"/>
      <c r="Q24" s="385"/>
      <c r="W24" s="157"/>
    </row>
    <row r="25" spans="1:23" s="159" customFormat="1" ht="13.5" thickBot="1" x14ac:dyDescent="0.25">
      <c r="A25" s="616" t="s">
        <v>0</v>
      </c>
      <c r="B25" s="617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618"/>
      <c r="K25" s="525"/>
      <c r="L25" s="393"/>
      <c r="M25" s="626"/>
      <c r="N25" s="395"/>
      <c r="O25" s="383"/>
      <c r="P25" s="384"/>
      <c r="Q25" s="385"/>
      <c r="W25" s="157"/>
    </row>
    <row r="26" spans="1:23" s="159" customFormat="1" ht="16.5" thickBot="1" x14ac:dyDescent="0.3">
      <c r="A26" s="581" t="s">
        <v>250</v>
      </c>
      <c r="B26" s="582" t="s">
        <v>251</v>
      </c>
      <c r="C26" s="627" t="s">
        <v>19</v>
      </c>
      <c r="D26" s="627" t="s">
        <v>33</v>
      </c>
      <c r="E26" s="628" t="s">
        <v>35</v>
      </c>
      <c r="F26" s="629" t="s">
        <v>30</v>
      </c>
      <c r="G26" s="630" t="s">
        <v>14</v>
      </c>
      <c r="H26" s="628" t="s">
        <v>35</v>
      </c>
      <c r="I26" s="629" t="s">
        <v>30</v>
      </c>
      <c r="J26" s="622" t="s">
        <v>659</v>
      </c>
      <c r="K26" s="631" t="s">
        <v>38</v>
      </c>
      <c r="L26" s="404"/>
      <c r="M26" s="634"/>
      <c r="N26" s="411"/>
      <c r="O26" s="383"/>
      <c r="P26" s="384"/>
      <c r="Q26" s="385"/>
      <c r="W26" s="157"/>
    </row>
    <row r="27" spans="1:23" s="159" customFormat="1" x14ac:dyDescent="0.2">
      <c r="A27" s="389"/>
      <c r="B27" s="7"/>
      <c r="C27" s="373"/>
      <c r="D27" s="374" t="s">
        <v>21</v>
      </c>
      <c r="E27" s="255">
        <v>0</v>
      </c>
      <c r="F27" s="375">
        <f>C27*E27</f>
        <v>0</v>
      </c>
      <c r="G27" s="531"/>
      <c r="H27" s="377">
        <v>0</v>
      </c>
      <c r="I27" s="375">
        <f>G27*H27</f>
        <v>0</v>
      </c>
      <c r="J27" s="624"/>
      <c r="K27" s="532">
        <f>F27+I27+J27</f>
        <v>0</v>
      </c>
      <c r="L27" s="157"/>
      <c r="M27" s="633"/>
      <c r="N27" s="157"/>
      <c r="O27" s="383"/>
      <c r="P27" s="384"/>
      <c r="Q27" s="385"/>
      <c r="W27" s="157"/>
    </row>
    <row r="28" spans="1:23" s="159" customFormat="1" ht="13.5" thickBot="1" x14ac:dyDescent="0.25">
      <c r="A28" s="389"/>
      <c r="B28" s="7"/>
      <c r="C28" s="373"/>
      <c r="D28" s="374" t="s">
        <v>21</v>
      </c>
      <c r="E28" s="255">
        <v>0</v>
      </c>
      <c r="F28" s="375">
        <f>C28*E28</f>
        <v>0</v>
      </c>
      <c r="G28" s="531"/>
      <c r="H28" s="377">
        <v>0</v>
      </c>
      <c r="I28" s="375">
        <f>G28*H28</f>
        <v>0</v>
      </c>
      <c r="J28" s="624"/>
      <c r="K28" s="532">
        <f>F28+I28+J28</f>
        <v>0</v>
      </c>
      <c r="L28" s="157"/>
      <c r="M28" s="633"/>
      <c r="N28" s="157"/>
      <c r="O28" s="383"/>
      <c r="P28" s="384"/>
      <c r="Q28" s="385"/>
      <c r="W28" s="157"/>
    </row>
    <row r="29" spans="1:23" ht="13.5" thickTop="1" x14ac:dyDescent="0.2">
      <c r="A29" s="389"/>
      <c r="B29" s="414"/>
      <c r="C29" s="390"/>
      <c r="D29" s="374"/>
      <c r="E29" s="255"/>
      <c r="F29" s="375"/>
      <c r="G29" s="531"/>
      <c r="H29" s="377"/>
      <c r="I29" s="375"/>
      <c r="J29" s="391" t="s">
        <v>30</v>
      </c>
      <c r="K29" s="534">
        <f>SUM(K27:K28)</f>
        <v>0</v>
      </c>
      <c r="L29" s="380"/>
      <c r="M29" s="625"/>
      <c r="N29" s="382"/>
      <c r="O29" s="383"/>
      <c r="P29" s="384"/>
      <c r="Q29" s="385"/>
    </row>
    <row r="30" spans="1:23" ht="13.5" thickBot="1" x14ac:dyDescent="0.25">
      <c r="A30" s="616" t="s">
        <v>0</v>
      </c>
      <c r="B30" s="617" t="s">
        <v>1</v>
      </c>
      <c r="C30" s="948" t="s">
        <v>656</v>
      </c>
      <c r="D30" s="948"/>
      <c r="E30" s="948"/>
      <c r="F30" s="948"/>
      <c r="G30" s="948" t="s">
        <v>34</v>
      </c>
      <c r="H30" s="948"/>
      <c r="I30" s="948"/>
      <c r="J30" s="618"/>
      <c r="K30" s="525"/>
      <c r="L30" s="393"/>
      <c r="M30" s="626"/>
      <c r="N30" s="395"/>
      <c r="O30" s="383"/>
      <c r="P30" s="384"/>
      <c r="Q30" s="385"/>
    </row>
    <row r="31" spans="1:23" ht="16.5" thickBot="1" x14ac:dyDescent="0.3">
      <c r="A31" s="581" t="s">
        <v>252</v>
      </c>
      <c r="B31" s="582" t="s">
        <v>253</v>
      </c>
      <c r="C31" s="627" t="s">
        <v>19</v>
      </c>
      <c r="D31" s="627" t="s">
        <v>33</v>
      </c>
      <c r="E31" s="628" t="s">
        <v>35</v>
      </c>
      <c r="F31" s="629" t="s">
        <v>30</v>
      </c>
      <c r="G31" s="630" t="s">
        <v>14</v>
      </c>
      <c r="H31" s="628" t="s">
        <v>35</v>
      </c>
      <c r="I31" s="629" t="s">
        <v>30</v>
      </c>
      <c r="J31" s="622" t="s">
        <v>659</v>
      </c>
      <c r="K31" s="631" t="s">
        <v>38</v>
      </c>
      <c r="L31" s="404"/>
      <c r="M31" s="634"/>
      <c r="N31" s="411"/>
      <c r="O31" s="383"/>
      <c r="P31" s="384"/>
      <c r="Q31" s="385"/>
    </row>
    <row r="32" spans="1:23" x14ac:dyDescent="0.2">
      <c r="A32" s="389"/>
      <c r="B32" s="7"/>
      <c r="C32" s="373"/>
      <c r="D32" s="374" t="s">
        <v>21</v>
      </c>
      <c r="E32" s="255">
        <v>0</v>
      </c>
      <c r="F32" s="375">
        <f>C32*E32</f>
        <v>0</v>
      </c>
      <c r="G32" s="531"/>
      <c r="H32" s="377">
        <v>0</v>
      </c>
      <c r="I32" s="375">
        <f>G32*H32</f>
        <v>0</v>
      </c>
      <c r="J32" s="624"/>
      <c r="K32" s="532">
        <f>F32+I32+J32</f>
        <v>0</v>
      </c>
      <c r="L32" s="380"/>
      <c r="M32" s="625"/>
      <c r="N32" s="382"/>
      <c r="O32" s="383"/>
      <c r="P32" s="384"/>
      <c r="Q32" s="385"/>
    </row>
    <row r="33" spans="1:17" x14ac:dyDescent="0.2">
      <c r="A33" s="389"/>
      <c r="B33" s="7"/>
      <c r="C33" s="373"/>
      <c r="D33" s="374" t="s">
        <v>21</v>
      </c>
      <c r="E33" s="255">
        <v>0</v>
      </c>
      <c r="F33" s="375">
        <f>C33*E33</f>
        <v>0</v>
      </c>
      <c r="G33" s="531"/>
      <c r="H33" s="377">
        <v>0</v>
      </c>
      <c r="I33" s="375">
        <f>G33*H33</f>
        <v>0</v>
      </c>
      <c r="J33" s="624"/>
      <c r="K33" s="532">
        <f>F33+I33+J33</f>
        <v>0</v>
      </c>
      <c r="L33" s="380"/>
      <c r="M33" s="625"/>
      <c r="N33" s="382"/>
      <c r="O33" s="383"/>
      <c r="P33" s="384"/>
      <c r="Q33" s="385"/>
    </row>
    <row r="34" spans="1:17" ht="13.5" thickBot="1" x14ac:dyDescent="0.25">
      <c r="A34" s="389"/>
      <c r="B34" s="7"/>
      <c r="C34" s="373"/>
      <c r="D34" s="374" t="s">
        <v>21</v>
      </c>
      <c r="E34" s="255">
        <v>0</v>
      </c>
      <c r="F34" s="375">
        <f>C34*E34</f>
        <v>0</v>
      </c>
      <c r="G34" s="531"/>
      <c r="H34" s="377">
        <v>0</v>
      </c>
      <c r="I34" s="375">
        <f>G34*H34</f>
        <v>0</v>
      </c>
      <c r="J34" s="624"/>
      <c r="K34" s="532">
        <f>F34+I34+J34</f>
        <v>0</v>
      </c>
      <c r="L34" s="380"/>
      <c r="M34" s="625"/>
      <c r="N34" s="382"/>
      <c r="O34" s="383"/>
      <c r="P34" s="384"/>
      <c r="Q34" s="385"/>
    </row>
    <row r="35" spans="1:17" ht="13.5" thickTop="1" x14ac:dyDescent="0.2">
      <c r="A35" s="389"/>
      <c r="B35" s="414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SUM(K32:K34)</f>
        <v>0</v>
      </c>
      <c r="L35" s="380"/>
      <c r="M35" s="625"/>
      <c r="N35" s="382"/>
      <c r="O35" s="383"/>
      <c r="P35" s="384"/>
      <c r="Q35" s="385"/>
    </row>
    <row r="36" spans="1:17" ht="13.5" thickBot="1" x14ac:dyDescent="0.25">
      <c r="A36" s="616" t="s">
        <v>0</v>
      </c>
      <c r="B36" s="617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618"/>
      <c r="K36" s="525"/>
      <c r="L36" s="393"/>
      <c r="M36" s="626"/>
      <c r="N36" s="395"/>
      <c r="O36" s="383"/>
      <c r="P36" s="384"/>
      <c r="Q36" s="385"/>
    </row>
    <row r="37" spans="1:17" ht="16.5" thickBot="1" x14ac:dyDescent="0.3">
      <c r="A37" s="581" t="s">
        <v>254</v>
      </c>
      <c r="B37" s="582" t="s">
        <v>255</v>
      </c>
      <c r="C37" s="627" t="s">
        <v>19</v>
      </c>
      <c r="D37" s="627" t="s">
        <v>33</v>
      </c>
      <c r="E37" s="628" t="s">
        <v>35</v>
      </c>
      <c r="F37" s="629" t="s">
        <v>30</v>
      </c>
      <c r="G37" s="630" t="s">
        <v>14</v>
      </c>
      <c r="H37" s="628" t="s">
        <v>35</v>
      </c>
      <c r="I37" s="629" t="s">
        <v>30</v>
      </c>
      <c r="J37" s="622" t="s">
        <v>659</v>
      </c>
      <c r="K37" s="631" t="s">
        <v>38</v>
      </c>
      <c r="L37" s="404"/>
      <c r="M37" s="634"/>
      <c r="N37" s="411"/>
      <c r="O37" s="383"/>
      <c r="P37" s="384"/>
      <c r="Q37" s="385"/>
    </row>
    <row r="38" spans="1:17" x14ac:dyDescent="0.2">
      <c r="A38" s="389"/>
      <c r="B38" s="7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624"/>
      <c r="K38" s="532">
        <f>F38+I38+J38</f>
        <v>0</v>
      </c>
      <c r="O38" s="383"/>
      <c r="P38" s="384"/>
      <c r="Q38" s="385"/>
    </row>
    <row r="39" spans="1:17" x14ac:dyDescent="0.2">
      <c r="A39" s="389"/>
      <c r="B39" s="7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624"/>
      <c r="K39" s="532">
        <f>F39+I39+J39</f>
        <v>0</v>
      </c>
      <c r="L39" s="157"/>
      <c r="M39" s="633"/>
      <c r="O39" s="412"/>
      <c r="P39" s="413"/>
      <c r="Q39" s="385"/>
    </row>
    <row r="40" spans="1:17" ht="13.5" thickBot="1" x14ac:dyDescent="0.25">
      <c r="A40" s="389"/>
      <c r="B40" s="7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624"/>
      <c r="K40" s="532">
        <f>F40+I40+J40</f>
        <v>0</v>
      </c>
      <c r="L40" s="380"/>
      <c r="M40" s="303"/>
      <c r="N40" s="423"/>
      <c r="O40" s="412"/>
      <c r="P40" s="413"/>
      <c r="Q40" s="385"/>
    </row>
    <row r="41" spans="1:17" ht="13.5" thickTop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91" t="s">
        <v>30</v>
      </c>
      <c r="K41" s="534">
        <f>SUM(K38:K40)</f>
        <v>0</v>
      </c>
      <c r="L41" s="380"/>
      <c r="M41" s="303"/>
      <c r="N41" s="423"/>
      <c r="O41" s="412"/>
      <c r="P41" s="413"/>
      <c r="Q41" s="385"/>
    </row>
    <row r="42" spans="1:17" ht="13.5" thickBot="1" x14ac:dyDescent="0.25">
      <c r="A42" s="616" t="s">
        <v>0</v>
      </c>
      <c r="B42" s="617" t="s">
        <v>1</v>
      </c>
      <c r="C42" s="948" t="s">
        <v>656</v>
      </c>
      <c r="D42" s="948"/>
      <c r="E42" s="948"/>
      <c r="F42" s="948"/>
      <c r="G42" s="948" t="s">
        <v>34</v>
      </c>
      <c r="H42" s="948"/>
      <c r="I42" s="948"/>
      <c r="J42" s="618"/>
      <c r="K42" s="525"/>
      <c r="L42" s="393"/>
      <c r="M42" s="626"/>
      <c r="N42" s="395"/>
      <c r="O42" s="412"/>
      <c r="P42" s="413"/>
      <c r="Q42" s="385"/>
    </row>
    <row r="43" spans="1:17" ht="16.5" thickBot="1" x14ac:dyDescent="0.3">
      <c r="A43" s="581" t="s">
        <v>256</v>
      </c>
      <c r="B43" s="582" t="s">
        <v>257</v>
      </c>
      <c r="C43" s="627" t="s">
        <v>19</v>
      </c>
      <c r="D43" s="627" t="s">
        <v>33</v>
      </c>
      <c r="E43" s="628" t="s">
        <v>35</v>
      </c>
      <c r="F43" s="629" t="s">
        <v>30</v>
      </c>
      <c r="G43" s="630" t="s">
        <v>14</v>
      </c>
      <c r="H43" s="628" t="s">
        <v>35</v>
      </c>
      <c r="I43" s="629" t="s">
        <v>30</v>
      </c>
      <c r="J43" s="622" t="s">
        <v>659</v>
      </c>
      <c r="K43" s="631" t="s">
        <v>38</v>
      </c>
      <c r="L43" s="404"/>
      <c r="M43" s="634"/>
      <c r="N43" s="411"/>
      <c r="O43" s="412"/>
      <c r="P43" s="413"/>
      <c r="Q43" s="385"/>
    </row>
    <row r="44" spans="1:17" x14ac:dyDescent="0.2">
      <c r="A44" s="851"/>
      <c r="B44" s="848" t="s">
        <v>1024</v>
      </c>
      <c r="C44" s="839">
        <v>1</v>
      </c>
      <c r="D44" s="840" t="s">
        <v>910</v>
      </c>
      <c r="E44" s="841">
        <v>900</v>
      </c>
      <c r="F44" s="842">
        <v>0</v>
      </c>
      <c r="G44" s="849"/>
      <c r="H44" s="844">
        <v>0</v>
      </c>
      <c r="I44" s="842">
        <f>G44*H44</f>
        <v>0</v>
      </c>
      <c r="J44" s="852"/>
      <c r="K44" s="850">
        <f>F44+I44+J44</f>
        <v>0</v>
      </c>
      <c r="L44" s="380"/>
      <c r="M44" s="303"/>
      <c r="N44" s="423"/>
      <c r="O44" s="412"/>
      <c r="P44" s="413"/>
      <c r="Q44" s="385"/>
    </row>
    <row r="45" spans="1:17" x14ac:dyDescent="0.2">
      <c r="A45" s="389"/>
      <c r="B45" s="7"/>
      <c r="C45" s="373"/>
      <c r="D45" s="374" t="s">
        <v>21</v>
      </c>
      <c r="E45" s="255">
        <v>0</v>
      </c>
      <c r="F45" s="375">
        <f>C45*E45</f>
        <v>0</v>
      </c>
      <c r="G45" s="531"/>
      <c r="H45" s="377">
        <v>0</v>
      </c>
      <c r="I45" s="375">
        <f>G45*H45</f>
        <v>0</v>
      </c>
      <c r="J45" s="624"/>
      <c r="K45" s="532">
        <f>F45+I45+J45</f>
        <v>0</v>
      </c>
      <c r="L45" s="380"/>
      <c r="M45" s="303"/>
      <c r="N45" s="382"/>
      <c r="O45" s="383"/>
      <c r="P45" s="384"/>
      <c r="Q45" s="385"/>
    </row>
    <row r="46" spans="1:17" ht="13.5" thickBot="1" x14ac:dyDescent="0.25">
      <c r="A46" s="389"/>
      <c r="B46" s="7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624"/>
      <c r="K46" s="532">
        <f>F46+I46+J46</f>
        <v>0</v>
      </c>
      <c r="L46" s="157"/>
      <c r="M46" s="633"/>
      <c r="O46" s="383"/>
      <c r="P46" s="384"/>
      <c r="Q46" s="385"/>
    </row>
    <row r="47" spans="1:17" ht="13.5" thickTop="1" x14ac:dyDescent="0.2">
      <c r="A47" s="389"/>
      <c r="B47" s="414"/>
      <c r="C47" s="390"/>
      <c r="D47" s="374"/>
      <c r="E47" s="255"/>
      <c r="F47" s="375"/>
      <c r="G47" s="531"/>
      <c r="H47" s="377"/>
      <c r="I47" s="375"/>
      <c r="J47" s="391" t="s">
        <v>30</v>
      </c>
      <c r="K47" s="534">
        <f>SUM(K44:K46)</f>
        <v>0</v>
      </c>
      <c r="O47" s="383"/>
      <c r="P47" s="413"/>
      <c r="Q47" s="385"/>
    </row>
    <row r="48" spans="1:17" ht="13.5" thickBot="1" x14ac:dyDescent="0.25">
      <c r="A48" s="616" t="s">
        <v>0</v>
      </c>
      <c r="B48" s="617" t="s">
        <v>1</v>
      </c>
      <c r="C48" s="948" t="s">
        <v>656</v>
      </c>
      <c r="D48" s="948"/>
      <c r="E48" s="948"/>
      <c r="F48" s="948"/>
      <c r="G48" s="948" t="s">
        <v>34</v>
      </c>
      <c r="H48" s="948"/>
      <c r="I48" s="948"/>
      <c r="J48" s="618"/>
      <c r="K48" s="525"/>
      <c r="L48" s="393"/>
      <c r="M48" s="618"/>
      <c r="N48" s="395"/>
      <c r="O48" s="383"/>
      <c r="P48" s="384"/>
      <c r="Q48" s="385"/>
    </row>
    <row r="49" spans="1:17" ht="16.5" thickBot="1" x14ac:dyDescent="0.3">
      <c r="A49" s="581" t="s">
        <v>258</v>
      </c>
      <c r="B49" s="582" t="s">
        <v>59</v>
      </c>
      <c r="C49" s="627" t="s">
        <v>19</v>
      </c>
      <c r="D49" s="627" t="s">
        <v>33</v>
      </c>
      <c r="E49" s="628" t="s">
        <v>35</v>
      </c>
      <c r="F49" s="629" t="s">
        <v>30</v>
      </c>
      <c r="G49" s="630" t="s">
        <v>14</v>
      </c>
      <c r="H49" s="628" t="s">
        <v>35</v>
      </c>
      <c r="I49" s="629" t="s">
        <v>30</v>
      </c>
      <c r="J49" s="622" t="s">
        <v>659</v>
      </c>
      <c r="K49" s="631" t="s">
        <v>38</v>
      </c>
      <c r="L49" s="404"/>
      <c r="M49" s="634"/>
      <c r="N49" s="406"/>
      <c r="O49" s="383"/>
      <c r="P49" s="384"/>
      <c r="Q49" s="385"/>
    </row>
    <row r="50" spans="1:17" x14ac:dyDescent="0.2">
      <c r="A50" s="389"/>
      <c r="B50" s="7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624"/>
      <c r="K50" s="532">
        <f>F50+I50+J50</f>
        <v>0</v>
      </c>
      <c r="L50" s="380"/>
      <c r="M50" s="303"/>
      <c r="N50" s="382"/>
      <c r="O50" s="383"/>
      <c r="P50" s="384"/>
      <c r="Q50" s="385"/>
    </row>
    <row r="51" spans="1:17" ht="13.5" thickBot="1" x14ac:dyDescent="0.25">
      <c r="A51" s="389"/>
      <c r="B51" s="7"/>
      <c r="C51" s="373"/>
      <c r="D51" s="374" t="s">
        <v>21</v>
      </c>
      <c r="E51" s="255">
        <v>0</v>
      </c>
      <c r="F51" s="375">
        <f>C51*E51</f>
        <v>0</v>
      </c>
      <c r="G51" s="531"/>
      <c r="H51" s="377">
        <v>0</v>
      </c>
      <c r="I51" s="375">
        <f>G51*H51</f>
        <v>0</v>
      </c>
      <c r="J51" s="624"/>
      <c r="K51" s="532">
        <f>F51+I51+J51</f>
        <v>0</v>
      </c>
      <c r="L51" s="380"/>
      <c r="M51" s="303"/>
      <c r="N51" s="382"/>
      <c r="O51" s="383"/>
      <c r="P51" s="384"/>
      <c r="Q51" s="385"/>
    </row>
    <row r="52" spans="1:17" ht="13.5" thickTop="1" x14ac:dyDescent="0.2">
      <c r="A52" s="389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SUM(K50:K51)</f>
        <v>0</v>
      </c>
      <c r="L52" s="380"/>
      <c r="M52" s="303"/>
      <c r="N52" s="382"/>
      <c r="O52" s="383"/>
      <c r="P52" s="384"/>
      <c r="Q52" s="385"/>
    </row>
    <row r="53" spans="1:17" ht="13.5" thickBot="1" x14ac:dyDescent="0.25">
      <c r="A53" s="616" t="s">
        <v>0</v>
      </c>
      <c r="B53" s="617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618"/>
      <c r="K53" s="525"/>
      <c r="L53" s="393"/>
      <c r="M53" s="618"/>
      <c r="N53" s="395"/>
      <c r="O53" s="383"/>
      <c r="P53" s="384"/>
      <c r="Q53" s="385"/>
    </row>
    <row r="54" spans="1:17" ht="16.5" thickBot="1" x14ac:dyDescent="0.3">
      <c r="A54" s="581" t="s">
        <v>259</v>
      </c>
      <c r="B54" s="582" t="s">
        <v>46</v>
      </c>
      <c r="C54" s="627" t="s">
        <v>19</v>
      </c>
      <c r="D54" s="627" t="s">
        <v>33</v>
      </c>
      <c r="E54" s="628" t="s">
        <v>35</v>
      </c>
      <c r="F54" s="629" t="s">
        <v>30</v>
      </c>
      <c r="G54" s="630" t="s">
        <v>14</v>
      </c>
      <c r="H54" s="628" t="s">
        <v>35</v>
      </c>
      <c r="I54" s="629" t="s">
        <v>30</v>
      </c>
      <c r="J54" s="622" t="s">
        <v>659</v>
      </c>
      <c r="K54" s="631" t="s">
        <v>38</v>
      </c>
      <c r="L54" s="404"/>
      <c r="M54" s="634"/>
      <c r="N54" s="406"/>
      <c r="O54" s="438"/>
      <c r="P54" s="439"/>
      <c r="Q54" s="385"/>
    </row>
    <row r="55" spans="1:17" x14ac:dyDescent="0.2">
      <c r="A55" s="389"/>
      <c r="B55" s="7"/>
      <c r="C55" s="373"/>
      <c r="D55" s="374" t="s">
        <v>21</v>
      </c>
      <c r="E55" s="255">
        <v>0</v>
      </c>
      <c r="F55" s="375">
        <f>C55*E55</f>
        <v>0</v>
      </c>
      <c r="G55" s="531"/>
      <c r="H55" s="377">
        <v>0</v>
      </c>
      <c r="I55" s="375">
        <f>G55*H55</f>
        <v>0</v>
      </c>
      <c r="J55" s="624"/>
      <c r="K55" s="532">
        <f>F55+I55+J55</f>
        <v>0</v>
      </c>
      <c r="L55" s="380"/>
      <c r="M55" s="303"/>
      <c r="N55" s="423"/>
      <c r="O55" s="438"/>
      <c r="P55" s="439"/>
      <c r="Q55" s="385"/>
    </row>
    <row r="56" spans="1:17" ht="13.5" thickBot="1" x14ac:dyDescent="0.25">
      <c r="A56" s="389"/>
      <c r="B56" s="7"/>
      <c r="C56" s="373"/>
      <c r="D56" s="374" t="s">
        <v>21</v>
      </c>
      <c r="E56" s="255">
        <v>0</v>
      </c>
      <c r="F56" s="375">
        <f>C56*E56</f>
        <v>0</v>
      </c>
      <c r="G56" s="531"/>
      <c r="H56" s="377">
        <v>0</v>
      </c>
      <c r="I56" s="375">
        <f>G56*H56</f>
        <v>0</v>
      </c>
      <c r="J56" s="624"/>
      <c r="K56" s="532">
        <f>F56+I56+J56</f>
        <v>0</v>
      </c>
      <c r="O56" s="412"/>
      <c r="P56" s="413"/>
      <c r="Q56" s="385"/>
    </row>
    <row r="57" spans="1:17" ht="13.5" thickTop="1" x14ac:dyDescent="0.2">
      <c r="A57" s="389"/>
      <c r="B57" s="414"/>
      <c r="C57" s="390"/>
      <c r="D57" s="374"/>
      <c r="E57" s="255"/>
      <c r="F57" s="375"/>
      <c r="G57" s="531"/>
      <c r="H57" s="377"/>
      <c r="I57" s="375"/>
      <c r="J57" s="391" t="s">
        <v>30</v>
      </c>
      <c r="K57" s="534">
        <f>SUM(K55:K56)</f>
        <v>0</v>
      </c>
      <c r="O57" s="383"/>
      <c r="P57" s="384"/>
      <c r="Q57" s="385"/>
    </row>
    <row r="58" spans="1:17" ht="13.5" thickBot="1" x14ac:dyDescent="0.25">
      <c r="A58" s="616" t="s">
        <v>0</v>
      </c>
      <c r="B58" s="617" t="s">
        <v>1</v>
      </c>
      <c r="C58" s="948" t="s">
        <v>656</v>
      </c>
      <c r="D58" s="948"/>
      <c r="E58" s="948"/>
      <c r="F58" s="948"/>
      <c r="G58" s="948" t="s">
        <v>34</v>
      </c>
      <c r="H58" s="948"/>
      <c r="I58" s="948"/>
      <c r="J58" s="618"/>
      <c r="K58" s="525"/>
      <c r="L58" s="393"/>
      <c r="M58" s="618"/>
      <c r="N58" s="440"/>
      <c r="O58" s="383"/>
      <c r="P58" s="384"/>
      <c r="Q58" s="385"/>
    </row>
    <row r="59" spans="1:17" ht="16.5" thickBot="1" x14ac:dyDescent="0.3">
      <c r="A59" s="581" t="s">
        <v>260</v>
      </c>
      <c r="B59" s="582" t="s">
        <v>261</v>
      </c>
      <c r="C59" s="627" t="s">
        <v>19</v>
      </c>
      <c r="D59" s="627" t="s">
        <v>33</v>
      </c>
      <c r="E59" s="628" t="s">
        <v>35</v>
      </c>
      <c r="F59" s="629" t="s">
        <v>30</v>
      </c>
      <c r="G59" s="630" t="s">
        <v>14</v>
      </c>
      <c r="H59" s="628" t="s">
        <v>35</v>
      </c>
      <c r="I59" s="629" t="s">
        <v>30</v>
      </c>
      <c r="J59" s="622" t="s">
        <v>659</v>
      </c>
      <c r="K59" s="631" t="s">
        <v>38</v>
      </c>
      <c r="L59" s="404"/>
      <c r="M59" s="634"/>
      <c r="N59" s="411"/>
      <c r="O59" s="383"/>
      <c r="P59" s="384"/>
      <c r="Q59" s="385"/>
    </row>
    <row r="60" spans="1:17" x14ac:dyDescent="0.2">
      <c r="A60" s="389"/>
      <c r="B60" s="7"/>
      <c r="C60" s="373"/>
      <c r="D60" s="374" t="s">
        <v>21</v>
      </c>
      <c r="E60" s="255">
        <v>0</v>
      </c>
      <c r="F60" s="375">
        <f>C60*E60</f>
        <v>0</v>
      </c>
      <c r="G60" s="531"/>
      <c r="H60" s="377">
        <v>0</v>
      </c>
      <c r="I60" s="375">
        <f>G60*H60</f>
        <v>0</v>
      </c>
      <c r="J60" s="624"/>
      <c r="K60" s="532">
        <f>F60+I60+J60</f>
        <v>0</v>
      </c>
      <c r="L60" s="380"/>
      <c r="M60" s="625"/>
      <c r="N60" s="382"/>
      <c r="O60" s="383"/>
      <c r="P60" s="384"/>
      <c r="Q60" s="385"/>
    </row>
    <row r="61" spans="1:17" ht="13.5" thickBot="1" x14ac:dyDescent="0.25">
      <c r="A61" s="389"/>
      <c r="B61" s="7"/>
      <c r="C61" s="373"/>
      <c r="D61" s="374" t="s">
        <v>21</v>
      </c>
      <c r="E61" s="255">
        <v>0</v>
      </c>
      <c r="F61" s="375">
        <f>C61*E61</f>
        <v>0</v>
      </c>
      <c r="G61" s="531"/>
      <c r="H61" s="377">
        <v>0</v>
      </c>
      <c r="I61" s="375">
        <f>G61*H61</f>
        <v>0</v>
      </c>
      <c r="J61" s="624"/>
      <c r="K61" s="532">
        <f>F61+I61+J61</f>
        <v>0</v>
      </c>
      <c r="L61" s="380"/>
      <c r="M61" s="625"/>
      <c r="N61" s="382"/>
      <c r="O61" s="383"/>
      <c r="P61" s="384"/>
      <c r="Q61" s="385"/>
    </row>
    <row r="62" spans="1:17" ht="14.25" thickTop="1" thickBot="1" x14ac:dyDescent="0.25">
      <c r="A62" s="472"/>
      <c r="B62" s="156"/>
      <c r="C62" s="473"/>
      <c r="D62" s="474"/>
      <c r="E62" s="635"/>
      <c r="F62" s="476"/>
      <c r="G62" s="636"/>
      <c r="H62" s="635"/>
      <c r="I62" s="476"/>
      <c r="J62" s="478" t="s">
        <v>30</v>
      </c>
      <c r="K62" s="637">
        <f>SUM(K60:K61)</f>
        <v>0</v>
      </c>
      <c r="L62" s="380"/>
      <c r="M62" s="625"/>
      <c r="N62" s="382"/>
      <c r="O62" s="383"/>
      <c r="P62" s="384"/>
      <c r="Q62" s="385"/>
    </row>
    <row r="63" spans="1:17" ht="13.5" thickBot="1" x14ac:dyDescent="0.25">
      <c r="A63" s="616" t="s">
        <v>0</v>
      </c>
      <c r="B63" s="617" t="s">
        <v>1</v>
      </c>
      <c r="C63" s="948" t="s">
        <v>656</v>
      </c>
      <c r="D63" s="948"/>
      <c r="E63" s="948"/>
      <c r="F63" s="948"/>
      <c r="G63" s="948" t="s">
        <v>34</v>
      </c>
      <c r="H63" s="948"/>
      <c r="I63" s="948"/>
      <c r="J63" s="618"/>
      <c r="K63" s="525"/>
      <c r="L63" s="393"/>
      <c r="M63" s="626"/>
      <c r="N63" s="395"/>
      <c r="O63" s="383"/>
      <c r="P63" s="384"/>
      <c r="Q63" s="385"/>
    </row>
    <row r="64" spans="1:17" ht="16.5" thickBot="1" x14ac:dyDescent="0.3">
      <c r="A64" s="581" t="s">
        <v>262</v>
      </c>
      <c r="B64" s="582" t="s">
        <v>93</v>
      </c>
      <c r="C64" s="627" t="s">
        <v>19</v>
      </c>
      <c r="D64" s="627" t="s">
        <v>33</v>
      </c>
      <c r="E64" s="628" t="s">
        <v>35</v>
      </c>
      <c r="F64" s="629" t="s">
        <v>30</v>
      </c>
      <c r="G64" s="630" t="s">
        <v>14</v>
      </c>
      <c r="H64" s="628" t="s">
        <v>35</v>
      </c>
      <c r="I64" s="629" t="s">
        <v>30</v>
      </c>
      <c r="J64" s="622" t="s">
        <v>659</v>
      </c>
      <c r="K64" s="631" t="s">
        <v>38</v>
      </c>
      <c r="L64" s="404"/>
      <c r="M64" s="632"/>
      <c r="N64" s="406"/>
      <c r="O64" s="383"/>
      <c r="P64" s="384"/>
      <c r="Q64" s="385"/>
    </row>
    <row r="65" spans="1:17" ht="15" x14ac:dyDescent="0.2">
      <c r="A65" s="647" t="s">
        <v>267</v>
      </c>
      <c r="B65" s="639" t="s">
        <v>263</v>
      </c>
      <c r="C65" s="648"/>
      <c r="D65" s="374" t="s">
        <v>21</v>
      </c>
      <c r="E65" s="255">
        <v>0</v>
      </c>
      <c r="F65" s="375">
        <f>C65*E65</f>
        <v>0</v>
      </c>
      <c r="G65" s="531"/>
      <c r="H65" s="377">
        <v>0</v>
      </c>
      <c r="I65" s="375">
        <f>G65*H65</f>
        <v>0</v>
      </c>
      <c r="J65" s="624"/>
      <c r="K65" s="532">
        <f>F65+I65+J65</f>
        <v>0</v>
      </c>
      <c r="O65" s="383"/>
      <c r="P65" s="384"/>
      <c r="Q65" s="385"/>
    </row>
    <row r="66" spans="1:17" ht="15" x14ac:dyDescent="0.2">
      <c r="A66" s="530" t="s">
        <v>268</v>
      </c>
      <c r="B66" s="649" t="s">
        <v>60</v>
      </c>
      <c r="C66" s="648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624"/>
      <c r="K66" s="532">
        <f>F66+I66+J66</f>
        <v>0</v>
      </c>
      <c r="O66" s="383"/>
      <c r="P66" s="384"/>
      <c r="Q66" s="385"/>
    </row>
    <row r="67" spans="1:17" ht="15" x14ac:dyDescent="0.2">
      <c r="A67" s="530" t="s">
        <v>269</v>
      </c>
      <c r="B67" s="649" t="s">
        <v>264</v>
      </c>
      <c r="C67" s="648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624"/>
      <c r="K67" s="532">
        <f>F67+I67+J67</f>
        <v>0</v>
      </c>
      <c r="O67" s="383"/>
      <c r="P67" s="384"/>
      <c r="Q67" s="385"/>
    </row>
    <row r="68" spans="1:17" ht="15.75" thickBot="1" x14ac:dyDescent="0.25">
      <c r="A68" s="530" t="s">
        <v>266</v>
      </c>
      <c r="B68" s="649" t="s">
        <v>265</v>
      </c>
      <c r="C68" s="648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624"/>
      <c r="K68" s="532">
        <f>F68+I68+J68</f>
        <v>0</v>
      </c>
      <c r="L68" s="380"/>
      <c r="M68" s="625"/>
      <c r="N68" s="382"/>
      <c r="O68" s="383"/>
      <c r="P68" s="384"/>
      <c r="Q68" s="385"/>
    </row>
    <row r="69" spans="1:17" ht="14.25" thickTop="1" thickBot="1" x14ac:dyDescent="0.25">
      <c r="A69" s="472"/>
      <c r="B69" s="156"/>
      <c r="C69" s="473"/>
      <c r="D69" s="474"/>
      <c r="E69" s="635"/>
      <c r="F69" s="476"/>
      <c r="G69" s="636"/>
      <c r="H69" s="635"/>
      <c r="I69" s="476"/>
      <c r="J69" s="478" t="s">
        <v>30</v>
      </c>
      <c r="K69" s="637">
        <f>SUM(K65:K68)</f>
        <v>0</v>
      </c>
      <c r="L69" s="380"/>
      <c r="M69" s="625"/>
      <c r="N69" s="382"/>
      <c r="O69" s="383"/>
      <c r="P69" s="384"/>
      <c r="Q69" s="385"/>
    </row>
    <row r="70" spans="1:17" ht="13.5" thickBot="1" x14ac:dyDescent="0.25">
      <c r="A70" s="616" t="s">
        <v>0</v>
      </c>
      <c r="B70" s="617" t="s">
        <v>1</v>
      </c>
      <c r="C70" s="948" t="s">
        <v>656</v>
      </c>
      <c r="D70" s="948"/>
      <c r="E70" s="948"/>
      <c r="F70" s="948"/>
      <c r="G70" s="948" t="s">
        <v>34</v>
      </c>
      <c r="H70" s="948"/>
      <c r="I70" s="948"/>
      <c r="J70" s="618"/>
      <c r="K70" s="525"/>
      <c r="L70" s="393"/>
      <c r="M70" s="626"/>
      <c r="N70" s="395"/>
      <c r="O70" s="383"/>
      <c r="P70" s="384"/>
      <c r="Q70" s="385"/>
    </row>
    <row r="71" spans="1:17" ht="16.5" thickBot="1" x14ac:dyDescent="0.3">
      <c r="A71" s="581" t="s">
        <v>270</v>
      </c>
      <c r="B71" s="582" t="s">
        <v>61</v>
      </c>
      <c r="C71" s="627" t="s">
        <v>19</v>
      </c>
      <c r="D71" s="627" t="s">
        <v>33</v>
      </c>
      <c r="E71" s="628" t="s">
        <v>35</v>
      </c>
      <c r="F71" s="629" t="s">
        <v>30</v>
      </c>
      <c r="G71" s="630" t="s">
        <v>14</v>
      </c>
      <c r="H71" s="628" t="s">
        <v>35</v>
      </c>
      <c r="I71" s="629" t="s">
        <v>30</v>
      </c>
      <c r="J71" s="622" t="s">
        <v>659</v>
      </c>
      <c r="K71" s="631" t="s">
        <v>38</v>
      </c>
      <c r="L71" s="404"/>
      <c r="M71" s="632"/>
      <c r="N71" s="406"/>
      <c r="O71" s="383"/>
      <c r="P71" s="384"/>
      <c r="Q71" s="385"/>
    </row>
    <row r="72" spans="1:17" x14ac:dyDescent="0.2">
      <c r="A72" s="389"/>
      <c r="B72" s="7"/>
      <c r="C72" s="373"/>
      <c r="D72" s="374" t="s">
        <v>21</v>
      </c>
      <c r="E72" s="255">
        <v>0</v>
      </c>
      <c r="F72" s="375">
        <f>C72*E72</f>
        <v>0</v>
      </c>
      <c r="G72" s="531"/>
      <c r="H72" s="377">
        <v>0</v>
      </c>
      <c r="I72" s="375">
        <f>G72*H72</f>
        <v>0</v>
      </c>
      <c r="J72" s="624"/>
      <c r="K72" s="532">
        <f>F72+I72+J72</f>
        <v>0</v>
      </c>
      <c r="L72" s="380"/>
      <c r="M72" s="625"/>
      <c r="N72" s="382"/>
      <c r="O72" s="383"/>
      <c r="P72" s="384"/>
      <c r="Q72" s="385"/>
    </row>
    <row r="73" spans="1:17" x14ac:dyDescent="0.2">
      <c r="A73" s="389"/>
      <c r="B73" s="7"/>
      <c r="C73" s="373"/>
      <c r="D73" s="374" t="s">
        <v>21</v>
      </c>
      <c r="E73" s="255">
        <v>0</v>
      </c>
      <c r="F73" s="375">
        <f>C73*E73</f>
        <v>0</v>
      </c>
      <c r="G73" s="531"/>
      <c r="H73" s="377">
        <v>0</v>
      </c>
      <c r="I73" s="375">
        <f>G73*H73</f>
        <v>0</v>
      </c>
      <c r="J73" s="624"/>
      <c r="K73" s="532">
        <f>F73+I73+J73</f>
        <v>0</v>
      </c>
      <c r="L73" s="380"/>
      <c r="M73" s="625"/>
      <c r="N73" s="382"/>
      <c r="O73" s="383"/>
      <c r="P73" s="384"/>
      <c r="Q73" s="385"/>
    </row>
    <row r="74" spans="1:17" ht="13.5" thickBot="1" x14ac:dyDescent="0.25">
      <c r="A74" s="389"/>
      <c r="B74" s="7"/>
      <c r="C74" s="373"/>
      <c r="D74" s="374"/>
      <c r="E74" s="255"/>
      <c r="F74" s="375"/>
      <c r="G74" s="531"/>
      <c r="H74" s="377"/>
      <c r="I74" s="375"/>
      <c r="J74" s="624"/>
      <c r="K74" s="532"/>
      <c r="L74" s="380"/>
      <c r="M74" s="625"/>
      <c r="N74" s="382"/>
      <c r="O74" s="383"/>
      <c r="P74" s="384"/>
      <c r="Q74" s="385"/>
    </row>
    <row r="75" spans="1:17" ht="14.25" thickTop="1" thickBot="1" x14ac:dyDescent="0.25">
      <c r="A75" s="472"/>
      <c r="B75" s="156"/>
      <c r="C75" s="473"/>
      <c r="D75" s="474"/>
      <c r="E75" s="635"/>
      <c r="F75" s="476"/>
      <c r="G75" s="636"/>
      <c r="H75" s="635"/>
      <c r="I75" s="476"/>
      <c r="J75" s="478" t="s">
        <v>30</v>
      </c>
      <c r="K75" s="637">
        <f>SUM(K72:K74)</f>
        <v>0</v>
      </c>
      <c r="L75" s="380"/>
      <c r="M75" s="625"/>
      <c r="N75" s="382"/>
      <c r="O75" s="383"/>
      <c r="P75" s="384"/>
      <c r="Q75" s="385"/>
    </row>
    <row r="76" spans="1:17" ht="13.5" thickBot="1" x14ac:dyDescent="0.25">
      <c r="A76" s="616" t="s">
        <v>0</v>
      </c>
      <c r="B76" s="617" t="s">
        <v>1</v>
      </c>
      <c r="C76" s="948" t="s">
        <v>656</v>
      </c>
      <c r="D76" s="948"/>
      <c r="E76" s="948"/>
      <c r="F76" s="948"/>
      <c r="G76" s="948" t="s">
        <v>34</v>
      </c>
      <c r="H76" s="948"/>
      <c r="I76" s="948"/>
      <c r="J76" s="618"/>
      <c r="K76" s="525"/>
      <c r="L76" s="393"/>
      <c r="M76" s="626"/>
      <c r="N76" s="395"/>
      <c r="O76" s="383"/>
      <c r="P76" s="384"/>
      <c r="Q76" s="385"/>
    </row>
    <row r="77" spans="1:17" ht="16.5" thickBot="1" x14ac:dyDescent="0.3">
      <c r="A77" s="581" t="s">
        <v>271</v>
      </c>
      <c r="B77" s="582" t="s">
        <v>272</v>
      </c>
      <c r="C77" s="627" t="s">
        <v>19</v>
      </c>
      <c r="D77" s="627" t="s">
        <v>33</v>
      </c>
      <c r="E77" s="628" t="s">
        <v>35</v>
      </c>
      <c r="F77" s="629" t="s">
        <v>30</v>
      </c>
      <c r="G77" s="630" t="s">
        <v>14</v>
      </c>
      <c r="H77" s="628" t="s">
        <v>35</v>
      </c>
      <c r="I77" s="629" t="s">
        <v>30</v>
      </c>
      <c r="J77" s="622" t="s">
        <v>659</v>
      </c>
      <c r="K77" s="631" t="s">
        <v>38</v>
      </c>
      <c r="L77" s="404"/>
      <c r="M77" s="632"/>
      <c r="N77" s="406"/>
      <c r="O77" s="383"/>
      <c r="P77" s="384"/>
      <c r="Q77" s="385"/>
    </row>
    <row r="78" spans="1:17" x14ac:dyDescent="0.2">
      <c r="A78" s="851"/>
      <c r="B78" s="848" t="s">
        <v>62</v>
      </c>
      <c r="C78" s="839">
        <v>581</v>
      </c>
      <c r="D78" s="840" t="s">
        <v>730</v>
      </c>
      <c r="E78" s="841">
        <v>55</v>
      </c>
      <c r="F78" s="842">
        <v>0</v>
      </c>
      <c r="G78" s="849"/>
      <c r="H78" s="844">
        <v>0</v>
      </c>
      <c r="I78" s="842">
        <f>G78*H78</f>
        <v>0</v>
      </c>
      <c r="J78" s="852">
        <f>M78</f>
        <v>1195</v>
      </c>
      <c r="K78" s="850">
        <f>F78+I78+J78</f>
        <v>1195</v>
      </c>
      <c r="L78" s="159" t="s">
        <v>1103</v>
      </c>
      <c r="M78" s="316">
        <v>1195</v>
      </c>
      <c r="O78" s="383"/>
      <c r="P78" s="384"/>
      <c r="Q78" s="385"/>
    </row>
    <row r="79" spans="1:17" x14ac:dyDescent="0.2">
      <c r="A79" s="851"/>
      <c r="B79" s="848" t="s">
        <v>1112</v>
      </c>
      <c r="C79" s="839">
        <v>4</v>
      </c>
      <c r="D79" s="840" t="s">
        <v>910</v>
      </c>
      <c r="E79" s="841">
        <v>120</v>
      </c>
      <c r="F79" s="842">
        <f>C79*E79</f>
        <v>480</v>
      </c>
      <c r="G79" s="849"/>
      <c r="H79" s="844">
        <v>0</v>
      </c>
      <c r="I79" s="842">
        <f>G79*H79</f>
        <v>0</v>
      </c>
      <c r="J79" s="852">
        <f>M80</f>
        <v>550</v>
      </c>
      <c r="K79" s="850">
        <f>F79+I79+J79</f>
        <v>1030</v>
      </c>
      <c r="L79" s="380" t="s">
        <v>1139</v>
      </c>
      <c r="M79" s="625">
        <v>1450</v>
      </c>
      <c r="N79" s="382"/>
      <c r="O79" s="383"/>
      <c r="P79" s="384"/>
      <c r="Q79" s="385"/>
    </row>
    <row r="80" spans="1:17" ht="13.5" thickBot="1" x14ac:dyDescent="0.25">
      <c r="A80" s="389"/>
      <c r="B80" s="7"/>
      <c r="C80" s="373"/>
      <c r="D80" s="374"/>
      <c r="E80" s="255"/>
      <c r="F80" s="375"/>
      <c r="G80" s="531"/>
      <c r="H80" s="377"/>
      <c r="I80" s="375"/>
      <c r="J80" s="624"/>
      <c r="K80" s="532"/>
      <c r="L80" s="380" t="s">
        <v>1139</v>
      </c>
      <c r="M80" s="625">
        <v>550</v>
      </c>
      <c r="N80" s="382" t="s">
        <v>1140</v>
      </c>
      <c r="O80" s="383"/>
      <c r="P80" s="384"/>
      <c r="Q80" s="385"/>
    </row>
    <row r="81" spans="1:17" ht="14.25" thickTop="1" thickBot="1" x14ac:dyDescent="0.25">
      <c r="A81" s="472"/>
      <c r="B81" s="156"/>
      <c r="C81" s="473"/>
      <c r="D81" s="474"/>
      <c r="E81" s="635"/>
      <c r="F81" s="476"/>
      <c r="G81" s="636"/>
      <c r="H81" s="635"/>
      <c r="I81" s="476"/>
      <c r="J81" s="478" t="s">
        <v>30</v>
      </c>
      <c r="K81" s="637">
        <f>SUM(K78:K80)</f>
        <v>2225</v>
      </c>
      <c r="L81" s="380"/>
      <c r="M81" s="625"/>
      <c r="N81" s="382"/>
      <c r="O81" s="383"/>
      <c r="P81" s="384"/>
      <c r="Q81" s="385"/>
    </row>
    <row r="82" spans="1:17" ht="13.5" thickBot="1" x14ac:dyDescent="0.25">
      <c r="A82" s="616" t="s">
        <v>0</v>
      </c>
      <c r="B82" s="617" t="s">
        <v>1</v>
      </c>
      <c r="C82" s="948" t="s">
        <v>656</v>
      </c>
      <c r="D82" s="948"/>
      <c r="E82" s="948"/>
      <c r="F82" s="948"/>
      <c r="G82" s="948" t="s">
        <v>34</v>
      </c>
      <c r="H82" s="948"/>
      <c r="I82" s="948"/>
      <c r="J82" s="618"/>
      <c r="K82" s="525"/>
      <c r="L82" s="393"/>
      <c r="M82" s="626"/>
      <c r="N82" s="395"/>
      <c r="O82" s="383"/>
      <c r="P82" s="384"/>
      <c r="Q82" s="385"/>
    </row>
    <row r="83" spans="1:17" ht="16.5" thickBot="1" x14ac:dyDescent="0.3">
      <c r="A83" s="581" t="s">
        <v>273</v>
      </c>
      <c r="B83" s="582" t="s">
        <v>274</v>
      </c>
      <c r="C83" s="627" t="s">
        <v>19</v>
      </c>
      <c r="D83" s="627" t="s">
        <v>33</v>
      </c>
      <c r="E83" s="628" t="s">
        <v>35</v>
      </c>
      <c r="F83" s="629" t="s">
        <v>30</v>
      </c>
      <c r="G83" s="630" t="s">
        <v>14</v>
      </c>
      <c r="H83" s="628" t="s">
        <v>35</v>
      </c>
      <c r="I83" s="629" t="s">
        <v>30</v>
      </c>
      <c r="J83" s="622" t="s">
        <v>659</v>
      </c>
      <c r="K83" s="631" t="s">
        <v>38</v>
      </c>
      <c r="L83" s="404"/>
      <c r="M83" s="632"/>
      <c r="N83" s="406"/>
      <c r="O83" s="383"/>
      <c r="P83" s="384"/>
      <c r="Q83" s="385"/>
    </row>
    <row r="84" spans="1:17" x14ac:dyDescent="0.2">
      <c r="A84" s="389"/>
      <c r="B84" s="7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624"/>
      <c r="K84" s="532">
        <f>F84+I84+J84</f>
        <v>0</v>
      </c>
      <c r="O84" s="383"/>
      <c r="P84" s="384"/>
      <c r="Q84" s="385"/>
    </row>
    <row r="85" spans="1:17" x14ac:dyDescent="0.2">
      <c r="A85" s="389"/>
      <c r="B85" s="7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624"/>
      <c r="K85" s="532">
        <f>F85+I85+J85</f>
        <v>0</v>
      </c>
      <c r="L85" s="380"/>
      <c r="M85" s="625"/>
      <c r="N85" s="382"/>
      <c r="O85" s="383"/>
      <c r="P85" s="384"/>
      <c r="Q85" s="385"/>
    </row>
    <row r="86" spans="1:17" ht="13.5" thickBot="1" x14ac:dyDescent="0.25">
      <c r="A86" s="389"/>
      <c r="B86" s="7"/>
      <c r="C86" s="373"/>
      <c r="D86" s="374"/>
      <c r="E86" s="255"/>
      <c r="F86" s="375"/>
      <c r="G86" s="531"/>
      <c r="H86" s="377"/>
      <c r="I86" s="375"/>
      <c r="J86" s="624"/>
      <c r="K86" s="532"/>
      <c r="O86" s="383"/>
      <c r="P86" s="384"/>
      <c r="Q86" s="385"/>
    </row>
    <row r="87" spans="1:17" ht="14.25" thickTop="1" thickBot="1" x14ac:dyDescent="0.25">
      <c r="A87" s="472"/>
      <c r="B87" s="156"/>
      <c r="C87" s="473"/>
      <c r="D87" s="474"/>
      <c r="E87" s="635"/>
      <c r="F87" s="476"/>
      <c r="G87" s="636"/>
      <c r="H87" s="635"/>
      <c r="I87" s="476"/>
      <c r="J87" s="478" t="s">
        <v>30</v>
      </c>
      <c r="K87" s="637">
        <f>SUM(K84:K86)</f>
        <v>0</v>
      </c>
      <c r="O87" s="383"/>
      <c r="P87" s="384"/>
      <c r="Q87" s="385"/>
    </row>
    <row r="88" spans="1:17" ht="13.5" thickBot="1" x14ac:dyDescent="0.25">
      <c r="A88" s="616" t="s">
        <v>0</v>
      </c>
      <c r="B88" s="617" t="s">
        <v>1</v>
      </c>
      <c r="C88" s="948" t="s">
        <v>656</v>
      </c>
      <c r="D88" s="948"/>
      <c r="E88" s="948"/>
      <c r="F88" s="948"/>
      <c r="G88" s="948" t="s">
        <v>34</v>
      </c>
      <c r="H88" s="948"/>
      <c r="I88" s="948"/>
      <c r="J88" s="618"/>
      <c r="K88" s="525"/>
      <c r="L88" s="393"/>
      <c r="M88" s="626"/>
      <c r="N88" s="395"/>
      <c r="O88" s="383"/>
      <c r="P88" s="384"/>
      <c r="Q88" s="385"/>
    </row>
    <row r="89" spans="1:17" ht="16.5" thickBot="1" x14ac:dyDescent="0.3">
      <c r="A89" s="581" t="s">
        <v>275</v>
      </c>
      <c r="B89" s="582" t="s">
        <v>276</v>
      </c>
      <c r="C89" s="627" t="s">
        <v>19</v>
      </c>
      <c r="D89" s="627" t="s">
        <v>33</v>
      </c>
      <c r="E89" s="628" t="s">
        <v>35</v>
      </c>
      <c r="F89" s="629" t="s">
        <v>30</v>
      </c>
      <c r="G89" s="630" t="s">
        <v>14</v>
      </c>
      <c r="H89" s="628" t="s">
        <v>35</v>
      </c>
      <c r="I89" s="629" t="s">
        <v>30</v>
      </c>
      <c r="J89" s="622" t="s">
        <v>659</v>
      </c>
      <c r="K89" s="631" t="s">
        <v>38</v>
      </c>
      <c r="L89" s="404"/>
      <c r="M89" s="632"/>
      <c r="N89" s="406"/>
      <c r="O89" s="383"/>
      <c r="P89" s="384"/>
      <c r="Q89" s="385"/>
    </row>
    <row r="90" spans="1:17" x14ac:dyDescent="0.2">
      <c r="A90" s="389"/>
      <c r="B90" s="7"/>
      <c r="C90" s="373"/>
      <c r="D90" s="374" t="s">
        <v>21</v>
      </c>
      <c r="E90" s="255">
        <v>0</v>
      </c>
      <c r="F90" s="375">
        <f>C90*E90</f>
        <v>0</v>
      </c>
      <c r="G90" s="531"/>
      <c r="H90" s="377">
        <v>0</v>
      </c>
      <c r="I90" s="375">
        <f>G90*H90</f>
        <v>0</v>
      </c>
      <c r="J90" s="624"/>
      <c r="K90" s="532">
        <f>F90+I90+J90</f>
        <v>0</v>
      </c>
      <c r="O90" s="383"/>
      <c r="P90" s="384"/>
      <c r="Q90" s="385"/>
    </row>
    <row r="91" spans="1:17" x14ac:dyDescent="0.2">
      <c r="A91" s="389"/>
      <c r="B91" s="7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624"/>
      <c r="K91" s="532">
        <f>F91+I91+J91</f>
        <v>0</v>
      </c>
      <c r="L91" s="380"/>
      <c r="M91" s="625"/>
      <c r="N91" s="382"/>
      <c r="O91" s="383"/>
      <c r="P91" s="384"/>
      <c r="Q91" s="385"/>
    </row>
    <row r="92" spans="1:17" ht="13.5" thickBot="1" x14ac:dyDescent="0.25">
      <c r="A92" s="389"/>
      <c r="B92" s="7"/>
      <c r="C92" s="373"/>
      <c r="D92" s="374"/>
      <c r="E92" s="255"/>
      <c r="F92" s="375"/>
      <c r="G92" s="531"/>
      <c r="H92" s="377"/>
      <c r="I92" s="375"/>
      <c r="J92" s="624"/>
      <c r="K92" s="532"/>
      <c r="O92" s="383"/>
      <c r="P92" s="384"/>
      <c r="Q92" s="385"/>
    </row>
    <row r="93" spans="1:17" ht="14.25" thickTop="1" thickBot="1" x14ac:dyDescent="0.25">
      <c r="A93" s="472"/>
      <c r="B93" s="156"/>
      <c r="C93" s="473"/>
      <c r="D93" s="474"/>
      <c r="E93" s="635"/>
      <c r="F93" s="476"/>
      <c r="G93" s="636"/>
      <c r="H93" s="635"/>
      <c r="I93" s="476"/>
      <c r="J93" s="478" t="s">
        <v>30</v>
      </c>
      <c r="K93" s="637">
        <f>SUM(K90:K92)</f>
        <v>0</v>
      </c>
      <c r="O93" s="383"/>
      <c r="P93" s="384"/>
      <c r="Q93" s="385"/>
    </row>
    <row r="94" spans="1:17" ht="13.5" thickBot="1" x14ac:dyDescent="0.25">
      <c r="A94" s="616" t="s">
        <v>0</v>
      </c>
      <c r="B94" s="617" t="s">
        <v>1</v>
      </c>
      <c r="C94" s="948" t="s">
        <v>656</v>
      </c>
      <c r="D94" s="948"/>
      <c r="E94" s="948"/>
      <c r="F94" s="948"/>
      <c r="G94" s="948" t="s">
        <v>34</v>
      </c>
      <c r="H94" s="948"/>
      <c r="I94" s="948"/>
      <c r="J94" s="618"/>
      <c r="K94" s="525"/>
      <c r="L94" s="393"/>
      <c r="M94" s="626"/>
      <c r="N94" s="395"/>
      <c r="O94" s="383"/>
      <c r="P94" s="384"/>
      <c r="Q94" s="385"/>
    </row>
    <row r="95" spans="1:17" ht="16.5" thickBot="1" x14ac:dyDescent="0.3">
      <c r="A95" s="581" t="s">
        <v>277</v>
      </c>
      <c r="B95" s="582" t="s">
        <v>278</v>
      </c>
      <c r="C95" s="627" t="s">
        <v>19</v>
      </c>
      <c r="D95" s="627" t="s">
        <v>33</v>
      </c>
      <c r="E95" s="628" t="s">
        <v>35</v>
      </c>
      <c r="F95" s="629" t="s">
        <v>30</v>
      </c>
      <c r="G95" s="630" t="s">
        <v>14</v>
      </c>
      <c r="H95" s="628" t="s">
        <v>35</v>
      </c>
      <c r="I95" s="629" t="s">
        <v>30</v>
      </c>
      <c r="J95" s="622" t="s">
        <v>659</v>
      </c>
      <c r="K95" s="631" t="s">
        <v>38</v>
      </c>
      <c r="L95" s="404"/>
      <c r="M95" s="632"/>
      <c r="N95" s="406"/>
      <c r="O95" s="383"/>
      <c r="P95" s="384"/>
      <c r="Q95" s="385"/>
    </row>
    <row r="96" spans="1:17" x14ac:dyDescent="0.2">
      <c r="A96" s="389"/>
      <c r="B96" s="7"/>
      <c r="C96" s="373"/>
      <c r="D96" s="374" t="s">
        <v>21</v>
      </c>
      <c r="E96" s="255">
        <v>0</v>
      </c>
      <c r="F96" s="375">
        <f>C96*E96</f>
        <v>0</v>
      </c>
      <c r="G96" s="531"/>
      <c r="H96" s="377">
        <v>0</v>
      </c>
      <c r="I96" s="375">
        <f>G96*H96</f>
        <v>0</v>
      </c>
      <c r="J96" s="624"/>
      <c r="K96" s="532">
        <f>F96+I96+J96</f>
        <v>0</v>
      </c>
      <c r="O96" s="383"/>
      <c r="P96" s="384"/>
      <c r="Q96" s="385"/>
    </row>
    <row r="97" spans="1:17" x14ac:dyDescent="0.2">
      <c r="A97" s="389"/>
      <c r="B97" s="7"/>
      <c r="C97" s="373"/>
      <c r="D97" s="374" t="s">
        <v>21</v>
      </c>
      <c r="E97" s="255">
        <v>0</v>
      </c>
      <c r="F97" s="375">
        <f>C97*E97</f>
        <v>0</v>
      </c>
      <c r="G97" s="531"/>
      <c r="H97" s="377">
        <v>0</v>
      </c>
      <c r="I97" s="375">
        <f>G97*H97</f>
        <v>0</v>
      </c>
      <c r="J97" s="624"/>
      <c r="K97" s="532">
        <f>F97+I97+J97</f>
        <v>0</v>
      </c>
      <c r="L97" s="380"/>
      <c r="M97" s="625"/>
      <c r="N97" s="382"/>
      <c r="O97" s="383"/>
      <c r="P97" s="384"/>
      <c r="Q97" s="385"/>
    </row>
    <row r="98" spans="1:17" ht="13.5" thickBot="1" x14ac:dyDescent="0.25">
      <c r="A98" s="389"/>
      <c r="B98" s="7"/>
      <c r="C98" s="373"/>
      <c r="D98" s="374"/>
      <c r="E98" s="255"/>
      <c r="F98" s="375"/>
      <c r="G98" s="531"/>
      <c r="H98" s="377"/>
      <c r="I98" s="375"/>
      <c r="J98" s="624"/>
      <c r="K98" s="532"/>
      <c r="O98" s="383"/>
      <c r="P98" s="384"/>
      <c r="Q98" s="385"/>
    </row>
    <row r="99" spans="1:17" ht="14.25" thickTop="1" thickBot="1" x14ac:dyDescent="0.25">
      <c r="A99" s="472"/>
      <c r="B99" s="156"/>
      <c r="C99" s="473"/>
      <c r="D99" s="474"/>
      <c r="E99" s="635"/>
      <c r="F99" s="476"/>
      <c r="G99" s="636"/>
      <c r="H99" s="635"/>
      <c r="I99" s="476"/>
      <c r="J99" s="478" t="s">
        <v>30</v>
      </c>
      <c r="K99" s="637">
        <f>SUM(K96:K98)</f>
        <v>0</v>
      </c>
      <c r="O99" s="383"/>
      <c r="P99" s="384"/>
      <c r="Q99" s="385"/>
    </row>
    <row r="100" spans="1:17" ht="13.5" thickBot="1" x14ac:dyDescent="0.25">
      <c r="A100" s="616" t="s">
        <v>0</v>
      </c>
      <c r="B100" s="617" t="s">
        <v>1</v>
      </c>
      <c r="C100" s="948" t="s">
        <v>656</v>
      </c>
      <c r="D100" s="948"/>
      <c r="E100" s="948"/>
      <c r="F100" s="948"/>
      <c r="G100" s="948" t="s">
        <v>34</v>
      </c>
      <c r="H100" s="948"/>
      <c r="I100" s="948"/>
      <c r="J100" s="618"/>
      <c r="K100" s="525"/>
      <c r="L100" s="393"/>
      <c r="M100" s="626"/>
      <c r="N100" s="395"/>
      <c r="O100" s="383"/>
      <c r="P100" s="384"/>
      <c r="Q100" s="385"/>
    </row>
    <row r="101" spans="1:17" ht="16.5" thickBot="1" x14ac:dyDescent="0.3">
      <c r="A101" s="396"/>
      <c r="B101" s="397"/>
      <c r="C101" s="640" t="s">
        <v>19</v>
      </c>
      <c r="D101" s="627" t="s">
        <v>33</v>
      </c>
      <c r="E101" s="628" t="s">
        <v>35</v>
      </c>
      <c r="F101" s="629" t="s">
        <v>30</v>
      </c>
      <c r="G101" s="630" t="s">
        <v>14</v>
      </c>
      <c r="H101" s="628" t="s">
        <v>35</v>
      </c>
      <c r="I101" s="629" t="s">
        <v>30</v>
      </c>
      <c r="J101" s="622" t="s">
        <v>659</v>
      </c>
      <c r="K101" s="631" t="s">
        <v>38</v>
      </c>
      <c r="L101" s="404"/>
      <c r="M101" s="632"/>
      <c r="N101" s="406"/>
      <c r="O101" s="383"/>
      <c r="P101" s="384"/>
      <c r="Q101" s="385"/>
    </row>
    <row r="102" spans="1:17" x14ac:dyDescent="0.2">
      <c r="A102" s="641"/>
      <c r="B102" s="642"/>
      <c r="C102" s="373"/>
      <c r="D102" s="374" t="s">
        <v>21</v>
      </c>
      <c r="E102" s="255">
        <v>0</v>
      </c>
      <c r="F102" s="375">
        <f>C102*E102</f>
        <v>0</v>
      </c>
      <c r="G102" s="531"/>
      <c r="H102" s="377">
        <v>0</v>
      </c>
      <c r="I102" s="375">
        <f>G102*H102</f>
        <v>0</v>
      </c>
      <c r="J102" s="624"/>
      <c r="K102" s="532">
        <f>F102+I102+J102</f>
        <v>0</v>
      </c>
      <c r="L102" s="380"/>
      <c r="M102" s="625"/>
      <c r="N102" s="382"/>
      <c r="O102" s="383"/>
      <c r="P102" s="384"/>
      <c r="Q102" s="385"/>
    </row>
    <row r="103" spans="1:17" x14ac:dyDescent="0.2">
      <c r="A103" s="389"/>
      <c r="B103" s="7"/>
      <c r="C103" s="373"/>
      <c r="D103" s="374" t="s">
        <v>21</v>
      </c>
      <c r="E103" s="255">
        <v>0</v>
      </c>
      <c r="F103" s="375">
        <f>C103*E103</f>
        <v>0</v>
      </c>
      <c r="G103" s="531"/>
      <c r="H103" s="377">
        <v>0</v>
      </c>
      <c r="I103" s="375">
        <f>G103*H103</f>
        <v>0</v>
      </c>
      <c r="J103" s="624"/>
      <c r="K103" s="532">
        <f>F103+I103+J103</f>
        <v>0</v>
      </c>
      <c r="L103" s="380"/>
      <c r="M103" s="625"/>
      <c r="N103" s="382"/>
      <c r="O103" s="383"/>
      <c r="P103" s="384"/>
      <c r="Q103" s="385"/>
    </row>
    <row r="104" spans="1:17" ht="13.5" thickBot="1" x14ac:dyDescent="0.25">
      <c r="A104" s="389"/>
      <c r="B104" s="7"/>
      <c r="C104" s="373"/>
      <c r="D104" s="374"/>
      <c r="E104" s="255"/>
      <c r="F104" s="375"/>
      <c r="G104" s="531"/>
      <c r="H104" s="377"/>
      <c r="I104" s="375"/>
      <c r="J104" s="624"/>
      <c r="K104" s="532"/>
      <c r="L104" s="380"/>
      <c r="M104" s="625"/>
      <c r="N104" s="382"/>
      <c r="O104" s="383"/>
      <c r="P104" s="384"/>
      <c r="Q104" s="385"/>
    </row>
    <row r="105" spans="1:17" ht="14.25" thickTop="1" thickBot="1" x14ac:dyDescent="0.25">
      <c r="A105" s="472"/>
      <c r="B105" s="156"/>
      <c r="C105" s="473"/>
      <c r="D105" s="474"/>
      <c r="E105" s="635"/>
      <c r="F105" s="476"/>
      <c r="G105" s="636"/>
      <c r="H105" s="635"/>
      <c r="I105" s="476"/>
      <c r="J105" s="478" t="s">
        <v>30</v>
      </c>
      <c r="K105" s="637">
        <f>SUM(K102:K104)</f>
        <v>0</v>
      </c>
      <c r="L105" s="585"/>
      <c r="M105" s="643"/>
      <c r="N105" s="587"/>
      <c r="O105" s="462"/>
      <c r="P105" s="463"/>
      <c r="Q105" s="464"/>
    </row>
    <row r="106" spans="1:17" ht="14.1" customHeight="1" x14ac:dyDescent="0.25">
      <c r="A106" s="480"/>
      <c r="B106" s="481"/>
      <c r="C106" s="482"/>
      <c r="D106" s="482"/>
      <c r="E106" s="644"/>
      <c r="F106" s="1077" t="s">
        <v>658</v>
      </c>
      <c r="G106" s="1001" t="s">
        <v>682</v>
      </c>
      <c r="H106" s="644"/>
      <c r="I106" s="1074" t="s">
        <v>657</v>
      </c>
      <c r="J106" s="967" t="s">
        <v>683</v>
      </c>
      <c r="K106" s="1066" t="s">
        <v>31</v>
      </c>
    </row>
    <row r="107" spans="1:17" ht="15" x14ac:dyDescent="0.25">
      <c r="A107" s="484" t="s">
        <v>32</v>
      </c>
      <c r="B107" s="1076" t="s">
        <v>28</v>
      </c>
      <c r="C107" s="485"/>
      <c r="D107" s="645"/>
      <c r="E107" s="645"/>
      <c r="F107" s="1078"/>
      <c r="G107" s="1002"/>
      <c r="H107" s="646"/>
      <c r="I107" s="1075"/>
      <c r="J107" s="968"/>
      <c r="K107" s="1067"/>
    </row>
    <row r="108" spans="1:17" ht="15" x14ac:dyDescent="0.25">
      <c r="A108" s="830">
        <f>K109/E6</f>
        <v>0</v>
      </c>
      <c r="B108" s="1076"/>
      <c r="C108" s="645"/>
      <c r="D108" s="645"/>
      <c r="E108" s="645"/>
      <c r="F108" s="1068">
        <f>SUM(F102:F104,F96:F98,F90:F92,F84:F86,F78:F80,F72:F74,F65:F68,F60:F61,F55:F56,F50:F51,F44:F46,F38:F40,F32:F34,F27:F28,F21:F23,F13:F17)</f>
        <v>480</v>
      </c>
      <c r="G108" s="1070">
        <f>SUM(G102:G104,G96:G98,G90:G92,G84:G86,G78:G80,G72:G74,G65:G68,G60:G61,G55:G56,G50:G51,G44:G46,G38:G40,G32:G34,G27:G28,G21:G23,G13:G17)</f>
        <v>28</v>
      </c>
      <c r="H108" s="646"/>
      <c r="I108" s="1068">
        <f>SUM(I102:I104,I96:I98,I90:I92,I84:I86,I78:I80,I72:I74,I65:I68,I60:I61,I55:I56,I50:I51,I44:I46,I38:I40,I32:I34,I27:I28,I21:I23,I13:I17)</f>
        <v>1820</v>
      </c>
      <c r="J108" s="1068">
        <f>SUM(J102:J104,J96:J98,J90:J92,J84:J86,J78:J80,J72:J74,J65:J68,J60:J61,J55:J56,J50:J51,J44:J46,J38:J40,J32:J34,J27:J28,J21:J23,J13:J17)</f>
        <v>20410</v>
      </c>
      <c r="K108" s="1072">
        <f>SUM(K105,K99,K93,K87,K81,K75,K69,K18,K24,K29,K35,K41,K47,K52,K57,K62)</f>
        <v>22710</v>
      </c>
    </row>
    <row r="109" spans="1:17" ht="15" thickBot="1" x14ac:dyDescent="0.25">
      <c r="A109" s="484"/>
      <c r="B109" s="552"/>
      <c r="C109" s="490"/>
      <c r="D109" s="490"/>
      <c r="E109" s="490"/>
      <c r="F109" s="1069"/>
      <c r="G109" s="1071"/>
      <c r="H109" s="490"/>
      <c r="I109" s="1069"/>
      <c r="J109" s="1069"/>
      <c r="K109" s="1073"/>
    </row>
    <row r="110" spans="1:17" ht="13.5" thickBot="1" x14ac:dyDescent="0.25">
      <c r="A110" s="491"/>
      <c r="B110" s="492"/>
      <c r="C110" s="492"/>
      <c r="D110" s="492"/>
      <c r="E110" s="492"/>
      <c r="F110" s="492"/>
      <c r="G110" s="492"/>
      <c r="H110" s="492"/>
      <c r="I110" s="492"/>
      <c r="J110" s="492"/>
      <c r="K110" s="493"/>
    </row>
  </sheetData>
  <mergeCells count="77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19:F19"/>
    <mergeCell ref="G19:I19"/>
    <mergeCell ref="C25:F25"/>
    <mergeCell ref="G25:I25"/>
    <mergeCell ref="C30:F30"/>
    <mergeCell ref="G30:I30"/>
    <mergeCell ref="C36:F36"/>
    <mergeCell ref="G36:I36"/>
    <mergeCell ref="C42:F42"/>
    <mergeCell ref="G42:I42"/>
    <mergeCell ref="C48:F48"/>
    <mergeCell ref="G48:I48"/>
    <mergeCell ref="C53:F53"/>
    <mergeCell ref="G53:I53"/>
    <mergeCell ref="B107:B108"/>
    <mergeCell ref="G100:I100"/>
    <mergeCell ref="F106:F107"/>
    <mergeCell ref="C58:F58"/>
    <mergeCell ref="G58:I58"/>
    <mergeCell ref="C63:F63"/>
    <mergeCell ref="G63:I63"/>
    <mergeCell ref="C94:F94"/>
    <mergeCell ref="G94:I94"/>
    <mergeCell ref="C100:F100"/>
    <mergeCell ref="F108:F109"/>
    <mergeCell ref="G108:G109"/>
    <mergeCell ref="C70:F70"/>
    <mergeCell ref="G70:I70"/>
    <mergeCell ref="C76:F76"/>
    <mergeCell ref="G76:I76"/>
    <mergeCell ref="C82:F82"/>
    <mergeCell ref="G82:I82"/>
    <mergeCell ref="I108:I109"/>
    <mergeCell ref="J108:J109"/>
    <mergeCell ref="K108:K109"/>
    <mergeCell ref="C88:F88"/>
    <mergeCell ref="G88:I88"/>
    <mergeCell ref="G106:G107"/>
    <mergeCell ref="I106:I107"/>
    <mergeCell ref="J106:J107"/>
    <mergeCell ref="K106:K107"/>
    <mergeCell ref="Q11:Q12"/>
    <mergeCell ref="L11:L12"/>
    <mergeCell ref="M11:M12"/>
    <mergeCell ref="N11:N12"/>
    <mergeCell ref="O11:O12"/>
    <mergeCell ref="P11:P12"/>
  </mergeCells>
  <pageMargins left="0.7" right="0.7" top="0.75" bottom="0.75" header="0.5" footer="0.5"/>
  <pageSetup scale="65" fitToHeight="2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pageSetUpPr fitToPage="1"/>
  </sheetPr>
  <dimension ref="A1:Q242"/>
  <sheetViews>
    <sheetView topLeftCell="A3" zoomScale="90" zoomScaleNormal="75" zoomScaleSheetLayoutView="90" zoomScalePageLayoutView="75" workbookViewId="0">
      <selection activeCell="B15" sqref="B15"/>
    </sheetView>
  </sheetViews>
  <sheetFormatPr defaultColWidth="9.140625" defaultRowHeight="12.75" x14ac:dyDescent="0.2"/>
  <cols>
    <col min="1" max="1" width="12.140625" style="157" bestFit="1" customWidth="1"/>
    <col min="2" max="2" width="45.42578125" style="157" customWidth="1"/>
    <col min="3" max="4" width="5" style="442" customWidth="1"/>
    <col min="5" max="5" width="11.4257812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bestFit="1" customWidth="1"/>
    <col min="12" max="12" width="19.85546875" style="159" bestFit="1" customWidth="1"/>
    <col min="13" max="13" width="14" style="316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611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3">
      <c r="A4" s="982"/>
      <c r="B4" s="983"/>
      <c r="C4" s="516"/>
      <c r="D4" s="993"/>
      <c r="E4" s="993"/>
      <c r="F4" s="993"/>
      <c r="G4" s="612"/>
      <c r="H4" s="612"/>
      <c r="I4" s="611"/>
      <c r="J4" s="331"/>
      <c r="K4" s="332"/>
      <c r="L4" s="1011"/>
      <c r="M4" s="1012"/>
      <c r="N4" s="994"/>
      <c r="O4" s="994"/>
      <c r="P4" s="946"/>
    </row>
    <row r="5" spans="1:17" ht="21" thickBot="1" x14ac:dyDescent="0.35">
      <c r="A5" s="613"/>
      <c r="B5" s="614"/>
      <c r="C5" s="518"/>
      <c r="D5" s="615"/>
      <c r="E5" s="343"/>
      <c r="F5" s="612"/>
      <c r="G5" s="1090" t="s">
        <v>8</v>
      </c>
      <c r="H5" s="1090"/>
      <c r="I5" s="1090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35">
      <c r="A6" s="613"/>
      <c r="B6" s="614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1090"/>
      <c r="H6" s="1090"/>
      <c r="I6" s="1090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5" customHeight="1" thickTop="1" thickBot="1" x14ac:dyDescent="0.25">
      <c r="A9" s="616" t="s">
        <v>0</v>
      </c>
      <c r="B9" s="617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618"/>
      <c r="K9" s="525"/>
      <c r="L9" s="1055" t="s">
        <v>780</v>
      </c>
      <c r="M9" s="1057" t="s">
        <v>781</v>
      </c>
      <c r="N9" s="1059" t="s">
        <v>782</v>
      </c>
      <c r="O9" s="1061"/>
      <c r="P9" s="1063"/>
      <c r="Q9" s="1053"/>
    </row>
    <row r="10" spans="1:17" ht="16.5" thickBot="1" x14ac:dyDescent="0.3">
      <c r="A10" s="581" t="s">
        <v>280</v>
      </c>
      <c r="B10" s="582" t="s">
        <v>281</v>
      </c>
      <c r="C10" s="619" t="s">
        <v>19</v>
      </c>
      <c r="D10" s="619" t="s">
        <v>33</v>
      </c>
      <c r="E10" s="447" t="s">
        <v>35</v>
      </c>
      <c r="F10" s="620" t="s">
        <v>30</v>
      </c>
      <c r="G10" s="621" t="s">
        <v>14</v>
      </c>
      <c r="H10" s="447" t="s">
        <v>35</v>
      </c>
      <c r="I10" s="620" t="s">
        <v>30</v>
      </c>
      <c r="J10" s="622" t="s">
        <v>659</v>
      </c>
      <c r="K10" s="623" t="s">
        <v>38</v>
      </c>
      <c r="L10" s="1056"/>
      <c r="M10" s="1058"/>
      <c r="N10" s="1060"/>
      <c r="O10" s="1062"/>
      <c r="P10" s="1064"/>
      <c r="Q10" s="1054"/>
    </row>
    <row r="11" spans="1:17" ht="38.25" x14ac:dyDescent="0.2">
      <c r="A11" s="853"/>
      <c r="B11" s="848" t="s">
        <v>1025</v>
      </c>
      <c r="C11" s="839">
        <v>5097</v>
      </c>
      <c r="D11" s="840" t="s">
        <v>730</v>
      </c>
      <c r="E11" s="841">
        <v>7</v>
      </c>
      <c r="F11" s="842">
        <v>0</v>
      </c>
      <c r="G11" s="849"/>
      <c r="H11" s="844">
        <v>0</v>
      </c>
      <c r="I11" s="842">
        <f t="shared" ref="I11:I16" si="0">G11*H11</f>
        <v>0</v>
      </c>
      <c r="J11" s="852">
        <f>M15</f>
        <v>61750</v>
      </c>
      <c r="K11" s="850">
        <f t="shared" ref="K11:K16" si="1">F11+I11+J11</f>
        <v>61750</v>
      </c>
      <c r="L11" s="380" t="s">
        <v>1120</v>
      </c>
      <c r="M11" s="625">
        <v>82720</v>
      </c>
      <c r="N11" s="887" t="s">
        <v>1124</v>
      </c>
      <c r="O11" s="383"/>
      <c r="P11" s="384"/>
      <c r="Q11" s="385"/>
    </row>
    <row r="12" spans="1:17" ht="25.5" x14ac:dyDescent="0.2">
      <c r="A12" s="853"/>
      <c r="B12" s="858" t="s">
        <v>1028</v>
      </c>
      <c r="C12" s="839">
        <v>1748</v>
      </c>
      <c r="D12" s="840" t="s">
        <v>730</v>
      </c>
      <c r="E12" s="841">
        <v>10</v>
      </c>
      <c r="F12" s="842">
        <v>0</v>
      </c>
      <c r="G12" s="849"/>
      <c r="H12" s="844">
        <v>0</v>
      </c>
      <c r="I12" s="842">
        <f t="shared" si="0"/>
        <v>0</v>
      </c>
      <c r="J12" s="852"/>
      <c r="K12" s="850">
        <f t="shared" si="1"/>
        <v>0</v>
      </c>
      <c r="L12" s="380" t="s">
        <v>1120</v>
      </c>
      <c r="M12" s="316">
        <v>19160</v>
      </c>
      <c r="N12" s="890" t="s">
        <v>1121</v>
      </c>
      <c r="O12" s="383"/>
      <c r="P12" s="384"/>
      <c r="Q12" s="385"/>
    </row>
    <row r="13" spans="1:17" ht="25.5" x14ac:dyDescent="0.2">
      <c r="A13" s="372"/>
      <c r="B13" s="899" t="s">
        <v>1173</v>
      </c>
      <c r="C13" s="373"/>
      <c r="D13" s="374" t="s">
        <v>730</v>
      </c>
      <c r="E13" s="255">
        <v>0</v>
      </c>
      <c r="F13" s="375">
        <f t="shared" ref="F13:F16" si="2">C13*E13</f>
        <v>0</v>
      </c>
      <c r="G13" s="531"/>
      <c r="H13" s="377">
        <v>0</v>
      </c>
      <c r="I13" s="375">
        <f t="shared" si="0"/>
        <v>0</v>
      </c>
      <c r="J13" s="624"/>
      <c r="K13" s="532">
        <f t="shared" si="1"/>
        <v>0</v>
      </c>
      <c r="L13" s="159" t="s">
        <v>1101</v>
      </c>
      <c r="M13" s="316">
        <v>66800</v>
      </c>
      <c r="N13" s="890" t="s">
        <v>1156</v>
      </c>
      <c r="O13" s="383"/>
      <c r="P13" s="384"/>
      <c r="Q13" s="385"/>
    </row>
    <row r="14" spans="1:17" x14ac:dyDescent="0.2">
      <c r="A14" s="372"/>
      <c r="B14" s="5"/>
      <c r="C14" s="570">
        <f>E6</f>
        <v>1747</v>
      </c>
      <c r="D14" s="374" t="s">
        <v>730</v>
      </c>
      <c r="E14" s="255">
        <v>0</v>
      </c>
      <c r="F14" s="375">
        <f t="shared" si="2"/>
        <v>0</v>
      </c>
      <c r="G14" s="531"/>
      <c r="H14" s="377">
        <v>0</v>
      </c>
      <c r="I14" s="375">
        <f t="shared" si="0"/>
        <v>0</v>
      </c>
      <c r="J14" s="624"/>
      <c r="K14" s="532">
        <f t="shared" si="1"/>
        <v>0</v>
      </c>
      <c r="L14" s="159" t="s">
        <v>1101</v>
      </c>
      <c r="M14" s="316">
        <v>6800</v>
      </c>
      <c r="N14" s="157" t="s">
        <v>1133</v>
      </c>
      <c r="O14" s="383"/>
      <c r="P14" s="384"/>
      <c r="Q14" s="385"/>
    </row>
    <row r="15" spans="1:17" ht="38.25" x14ac:dyDescent="0.2">
      <c r="A15" s="372"/>
      <c r="B15" s="6"/>
      <c r="C15" s="373"/>
      <c r="D15" s="374" t="s">
        <v>730</v>
      </c>
      <c r="E15" s="255">
        <v>0</v>
      </c>
      <c r="F15" s="375">
        <f t="shared" si="2"/>
        <v>0</v>
      </c>
      <c r="G15" s="531"/>
      <c r="H15" s="377">
        <v>0</v>
      </c>
      <c r="I15" s="375">
        <f t="shared" si="0"/>
        <v>0</v>
      </c>
      <c r="J15" s="624"/>
      <c r="K15" s="532">
        <f t="shared" si="1"/>
        <v>0</v>
      </c>
      <c r="L15" s="159" t="s">
        <v>1102</v>
      </c>
      <c r="M15" s="625">
        <v>61750</v>
      </c>
      <c r="N15" s="887" t="s">
        <v>1157</v>
      </c>
      <c r="O15" s="383"/>
      <c r="P15" s="384"/>
      <c r="Q15" s="385"/>
    </row>
    <row r="16" spans="1:17" ht="25.5" x14ac:dyDescent="0.2">
      <c r="A16" s="386"/>
      <c r="B16" s="5"/>
      <c r="C16" s="373"/>
      <c r="D16" s="374" t="s">
        <v>730</v>
      </c>
      <c r="E16" s="255">
        <v>0</v>
      </c>
      <c r="F16" s="375">
        <f t="shared" si="2"/>
        <v>0</v>
      </c>
      <c r="G16" s="531"/>
      <c r="H16" s="377">
        <v>0</v>
      </c>
      <c r="I16" s="375">
        <f t="shared" si="0"/>
        <v>0</v>
      </c>
      <c r="J16" s="624"/>
      <c r="K16" s="532">
        <f t="shared" si="1"/>
        <v>0</v>
      </c>
      <c r="L16" s="159" t="s">
        <v>1102</v>
      </c>
      <c r="M16" s="316">
        <v>8500</v>
      </c>
      <c r="N16" s="890" t="s">
        <v>1158</v>
      </c>
      <c r="O16" s="383"/>
      <c r="P16" s="384"/>
      <c r="Q16" s="385"/>
    </row>
    <row r="17" spans="1:17" ht="13.5" thickBot="1" x14ac:dyDescent="0.25">
      <c r="A17" s="389"/>
      <c r="B17" s="7"/>
      <c r="C17" s="390"/>
      <c r="D17" s="374"/>
      <c r="E17" s="255"/>
      <c r="F17" s="375"/>
      <c r="G17" s="531"/>
      <c r="H17" s="377"/>
      <c r="I17" s="375"/>
      <c r="J17" s="624"/>
      <c r="K17" s="532"/>
      <c r="M17" s="625"/>
      <c r="N17" s="887"/>
      <c r="O17" s="383"/>
      <c r="P17" s="384"/>
      <c r="Q17" s="385"/>
    </row>
    <row r="18" spans="1:17" ht="13.5" thickTop="1" x14ac:dyDescent="0.2">
      <c r="A18" s="389"/>
      <c r="B18" s="7"/>
      <c r="C18" s="390"/>
      <c r="D18" s="374"/>
      <c r="E18" s="255"/>
      <c r="F18" s="375"/>
      <c r="G18" s="531"/>
      <c r="H18" s="377"/>
      <c r="I18" s="375"/>
      <c r="J18" s="391" t="s">
        <v>30</v>
      </c>
      <c r="K18" s="534">
        <f>SUM(K11:K17)</f>
        <v>61750</v>
      </c>
      <c r="L18" s="380"/>
      <c r="M18" s="625"/>
      <c r="N18" s="382"/>
      <c r="O18" s="383"/>
      <c r="P18" s="384"/>
      <c r="Q18" s="385"/>
    </row>
    <row r="19" spans="1:17" ht="13.5" thickBot="1" x14ac:dyDescent="0.25">
      <c r="A19" s="616" t="s">
        <v>0</v>
      </c>
      <c r="B19" s="617" t="s">
        <v>1</v>
      </c>
      <c r="C19" s="948" t="s">
        <v>656</v>
      </c>
      <c r="D19" s="948"/>
      <c r="E19" s="948"/>
      <c r="F19" s="948"/>
      <c r="G19" s="948" t="s">
        <v>34</v>
      </c>
      <c r="H19" s="948"/>
      <c r="I19" s="948"/>
      <c r="J19" s="618"/>
      <c r="K19" s="525"/>
      <c r="L19" s="393"/>
      <c r="M19" s="626"/>
      <c r="N19" s="395"/>
      <c r="O19" s="383"/>
      <c r="P19" s="384"/>
      <c r="Q19" s="385"/>
    </row>
    <row r="20" spans="1:17" ht="16.5" thickBot="1" x14ac:dyDescent="0.3">
      <c r="A20" s="581" t="s">
        <v>282</v>
      </c>
      <c r="B20" s="582" t="s">
        <v>283</v>
      </c>
      <c r="C20" s="627" t="s">
        <v>19</v>
      </c>
      <c r="D20" s="627" t="s">
        <v>33</v>
      </c>
      <c r="E20" s="628" t="s">
        <v>35</v>
      </c>
      <c r="F20" s="629" t="s">
        <v>30</v>
      </c>
      <c r="G20" s="630" t="s">
        <v>14</v>
      </c>
      <c r="H20" s="628" t="s">
        <v>35</v>
      </c>
      <c r="I20" s="629" t="s">
        <v>30</v>
      </c>
      <c r="J20" s="622" t="s">
        <v>659</v>
      </c>
      <c r="K20" s="631" t="s">
        <v>38</v>
      </c>
      <c r="L20" s="404"/>
      <c r="M20" s="632"/>
      <c r="N20" s="406"/>
      <c r="O20" s="383"/>
      <c r="P20" s="384"/>
      <c r="Q20" s="385"/>
    </row>
    <row r="21" spans="1:17" x14ac:dyDescent="0.2">
      <c r="A21" s="853"/>
      <c r="B21" s="848" t="s">
        <v>1027</v>
      </c>
      <c r="C21" s="839">
        <v>201</v>
      </c>
      <c r="D21" s="840" t="s">
        <v>730</v>
      </c>
      <c r="E21" s="841">
        <v>8</v>
      </c>
      <c r="F21" s="842">
        <v>0</v>
      </c>
      <c r="G21" s="849"/>
      <c r="H21" s="844">
        <v>0</v>
      </c>
      <c r="I21" s="842">
        <f>G21*H21</f>
        <v>0</v>
      </c>
      <c r="J21" s="852"/>
      <c r="K21" s="850">
        <f>F21+I21+J21</f>
        <v>0</v>
      </c>
      <c r="L21" s="380"/>
      <c r="M21" s="625"/>
      <c r="N21" s="382"/>
      <c r="O21" s="383"/>
      <c r="P21" s="384"/>
      <c r="Q21" s="385"/>
    </row>
    <row r="22" spans="1:17" x14ac:dyDescent="0.2">
      <c r="A22" s="372"/>
      <c r="B22" s="5"/>
      <c r="C22" s="373"/>
      <c r="D22" s="374" t="s">
        <v>730</v>
      </c>
      <c r="E22" s="255">
        <v>0</v>
      </c>
      <c r="F22" s="375">
        <f>C22*E22</f>
        <v>0</v>
      </c>
      <c r="G22" s="531"/>
      <c r="H22" s="377">
        <v>0</v>
      </c>
      <c r="I22" s="375">
        <f>G22*H22</f>
        <v>0</v>
      </c>
      <c r="J22" s="624"/>
      <c r="K22" s="532">
        <f>F22+I22+J22</f>
        <v>0</v>
      </c>
      <c r="L22" s="380"/>
      <c r="M22" s="625"/>
      <c r="N22" s="382"/>
      <c r="O22" s="383"/>
      <c r="P22" s="384"/>
      <c r="Q22" s="385"/>
    </row>
    <row r="23" spans="1:17" x14ac:dyDescent="0.2">
      <c r="A23" s="372"/>
      <c r="B23" s="5"/>
      <c r="C23" s="373"/>
      <c r="D23" s="374" t="s">
        <v>730</v>
      </c>
      <c r="E23" s="255">
        <v>0</v>
      </c>
      <c r="F23" s="375">
        <f>C23*E23</f>
        <v>0</v>
      </c>
      <c r="G23" s="531"/>
      <c r="H23" s="377">
        <v>0</v>
      </c>
      <c r="I23" s="375">
        <f>G23*H23</f>
        <v>0</v>
      </c>
      <c r="J23" s="624"/>
      <c r="K23" s="532">
        <f>F23+I23+J23</f>
        <v>0</v>
      </c>
      <c r="L23" s="380"/>
      <c r="M23" s="625"/>
      <c r="N23" s="382"/>
      <c r="O23" s="383"/>
      <c r="P23" s="384"/>
      <c r="Q23" s="385"/>
    </row>
    <row r="24" spans="1:17" x14ac:dyDescent="0.2">
      <c r="A24" s="372"/>
      <c r="B24" s="5"/>
      <c r="C24" s="373"/>
      <c r="D24" s="374" t="s">
        <v>730</v>
      </c>
      <c r="E24" s="255">
        <v>0</v>
      </c>
      <c r="F24" s="375">
        <f>C24*E24</f>
        <v>0</v>
      </c>
      <c r="G24" s="531"/>
      <c r="H24" s="377">
        <v>0</v>
      </c>
      <c r="I24" s="375">
        <f>G24*H24</f>
        <v>0</v>
      </c>
      <c r="J24" s="624"/>
      <c r="K24" s="532">
        <f>F24+I24+J24</f>
        <v>0</v>
      </c>
      <c r="L24" s="380"/>
      <c r="M24" s="625"/>
      <c r="N24" s="382"/>
      <c r="O24" s="383"/>
      <c r="P24" s="384"/>
      <c r="Q24" s="385"/>
    </row>
    <row r="25" spans="1:17" ht="13.5" thickBot="1" x14ac:dyDescent="0.25">
      <c r="A25" s="372"/>
      <c r="B25" s="5"/>
      <c r="C25" s="390"/>
      <c r="D25" s="374"/>
      <c r="E25" s="255"/>
      <c r="F25" s="375"/>
      <c r="G25" s="531"/>
      <c r="H25" s="377"/>
      <c r="I25" s="375"/>
      <c r="J25" s="624"/>
      <c r="K25" s="537"/>
      <c r="L25" s="157"/>
      <c r="M25" s="633"/>
      <c r="O25" s="383"/>
      <c r="P25" s="384"/>
      <c r="Q25" s="385"/>
    </row>
    <row r="26" spans="1:17" ht="13.5" thickTop="1" x14ac:dyDescent="0.2">
      <c r="A26" s="389"/>
      <c r="B26" s="5"/>
      <c r="C26" s="390"/>
      <c r="D26" s="374"/>
      <c r="E26" s="255"/>
      <c r="F26" s="375"/>
      <c r="G26" s="531"/>
      <c r="H26" s="377"/>
      <c r="I26" s="375"/>
      <c r="J26" s="391" t="s">
        <v>30</v>
      </c>
      <c r="K26" s="534">
        <f>SUM(K21:K25)</f>
        <v>0</v>
      </c>
      <c r="L26" s="157"/>
      <c r="M26" s="633"/>
      <c r="O26" s="383"/>
      <c r="P26" s="384"/>
      <c r="Q26" s="385"/>
    </row>
    <row r="27" spans="1:17" ht="13.5" thickBot="1" x14ac:dyDescent="0.25">
      <c r="A27" s="616" t="s">
        <v>0</v>
      </c>
      <c r="B27" s="617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618"/>
      <c r="K27" s="525"/>
      <c r="L27" s="393"/>
      <c r="M27" s="626"/>
      <c r="N27" s="395"/>
      <c r="O27" s="383"/>
      <c r="P27" s="384"/>
      <c r="Q27" s="385"/>
    </row>
    <row r="28" spans="1:17" ht="16.5" thickBot="1" x14ac:dyDescent="0.3">
      <c r="A28" s="581" t="s">
        <v>284</v>
      </c>
      <c r="B28" s="582" t="s">
        <v>285</v>
      </c>
      <c r="C28" s="627" t="s">
        <v>19</v>
      </c>
      <c r="D28" s="627" t="s">
        <v>33</v>
      </c>
      <c r="E28" s="628" t="s">
        <v>35</v>
      </c>
      <c r="F28" s="629" t="s">
        <v>30</v>
      </c>
      <c r="G28" s="630" t="s">
        <v>14</v>
      </c>
      <c r="H28" s="628" t="s">
        <v>35</v>
      </c>
      <c r="I28" s="629" t="s">
        <v>30</v>
      </c>
      <c r="J28" s="622" t="s">
        <v>659</v>
      </c>
      <c r="K28" s="631" t="s">
        <v>38</v>
      </c>
      <c r="L28" s="404"/>
      <c r="M28" s="632"/>
      <c r="N28" s="406"/>
      <c r="O28" s="383"/>
      <c r="P28" s="384"/>
      <c r="Q28" s="385"/>
    </row>
    <row r="29" spans="1:17" x14ac:dyDescent="0.2">
      <c r="A29" s="853"/>
      <c r="B29" s="848" t="s">
        <v>1030</v>
      </c>
      <c r="C29" s="857">
        <f>E6</f>
        <v>1747</v>
      </c>
      <c r="D29" s="840" t="s">
        <v>730</v>
      </c>
      <c r="E29" s="841">
        <v>6</v>
      </c>
      <c r="F29" s="842">
        <v>0</v>
      </c>
      <c r="G29" s="849"/>
      <c r="H29" s="844">
        <v>0</v>
      </c>
      <c r="I29" s="842">
        <f>G29*H29</f>
        <v>0</v>
      </c>
      <c r="J29" s="852"/>
      <c r="K29" s="850">
        <f>F29+I29+J29</f>
        <v>0</v>
      </c>
      <c r="L29" s="380"/>
      <c r="M29" s="625"/>
      <c r="N29" s="382"/>
      <c r="O29" s="383"/>
      <c r="P29" s="384"/>
      <c r="Q29" s="385"/>
    </row>
    <row r="30" spans="1:17" x14ac:dyDescent="0.2">
      <c r="A30" s="372"/>
      <c r="B30" s="5"/>
      <c r="C30" s="373"/>
      <c r="D30" s="374" t="s">
        <v>730</v>
      </c>
      <c r="E30" s="255">
        <v>0</v>
      </c>
      <c r="F30" s="375">
        <f>C30*E30</f>
        <v>0</v>
      </c>
      <c r="G30" s="531"/>
      <c r="H30" s="377">
        <v>0</v>
      </c>
      <c r="I30" s="375">
        <f>G30*H30</f>
        <v>0</v>
      </c>
      <c r="J30" s="624"/>
      <c r="K30" s="532">
        <f>F30+I30+J30</f>
        <v>0</v>
      </c>
      <c r="L30" s="380"/>
      <c r="M30" s="625"/>
      <c r="N30" s="382"/>
      <c r="O30" s="383"/>
      <c r="P30" s="384"/>
      <c r="Q30" s="385"/>
    </row>
    <row r="31" spans="1:17" s="159" customFormat="1" ht="13.5" thickBot="1" x14ac:dyDescent="0.25">
      <c r="A31" s="389"/>
      <c r="B31" s="414"/>
      <c r="C31" s="390"/>
      <c r="D31" s="374"/>
      <c r="E31" s="255"/>
      <c r="F31" s="375"/>
      <c r="G31" s="531"/>
      <c r="H31" s="377"/>
      <c r="I31" s="375"/>
      <c r="J31" s="624"/>
      <c r="K31" s="537"/>
      <c r="L31" s="380"/>
      <c r="M31" s="625"/>
      <c r="N31" s="382"/>
      <c r="O31" s="383"/>
      <c r="P31" s="384"/>
      <c r="Q31" s="385"/>
    </row>
    <row r="32" spans="1:17" s="159" customFormat="1" ht="13.5" thickTop="1" x14ac:dyDescent="0.2">
      <c r="A32" s="389"/>
      <c r="B32" s="414"/>
      <c r="C32" s="390"/>
      <c r="D32" s="374"/>
      <c r="E32" s="255"/>
      <c r="F32" s="375"/>
      <c r="G32" s="531"/>
      <c r="H32" s="377"/>
      <c r="I32" s="375"/>
      <c r="J32" s="391" t="s">
        <v>30</v>
      </c>
      <c r="K32" s="534">
        <f>SUM(K29:K31)</f>
        <v>0</v>
      </c>
      <c r="L32" s="380"/>
      <c r="M32" s="625"/>
      <c r="N32" s="382"/>
      <c r="O32" s="383"/>
      <c r="P32" s="384"/>
      <c r="Q32" s="385"/>
    </row>
    <row r="33" spans="1:17" s="159" customFormat="1" ht="13.5" thickBot="1" x14ac:dyDescent="0.25">
      <c r="A33" s="616" t="s">
        <v>0</v>
      </c>
      <c r="B33" s="617" t="s">
        <v>1</v>
      </c>
      <c r="C33" s="948" t="s">
        <v>656</v>
      </c>
      <c r="D33" s="948"/>
      <c r="E33" s="948"/>
      <c r="F33" s="948"/>
      <c r="G33" s="948" t="s">
        <v>34</v>
      </c>
      <c r="H33" s="948"/>
      <c r="I33" s="948"/>
      <c r="J33" s="618"/>
      <c r="K33" s="525"/>
      <c r="L33" s="393"/>
      <c r="M33" s="626"/>
      <c r="N33" s="395"/>
      <c r="O33" s="383"/>
      <c r="P33" s="384"/>
      <c r="Q33" s="385"/>
    </row>
    <row r="34" spans="1:17" s="159" customFormat="1" ht="16.5" thickBot="1" x14ac:dyDescent="0.3">
      <c r="A34" s="581" t="s">
        <v>286</v>
      </c>
      <c r="B34" s="582" t="s">
        <v>78</v>
      </c>
      <c r="C34" s="627" t="s">
        <v>19</v>
      </c>
      <c r="D34" s="627" t="s">
        <v>33</v>
      </c>
      <c r="E34" s="628" t="s">
        <v>35</v>
      </c>
      <c r="F34" s="629" t="s">
        <v>30</v>
      </c>
      <c r="G34" s="630" t="s">
        <v>14</v>
      </c>
      <c r="H34" s="628" t="s">
        <v>35</v>
      </c>
      <c r="I34" s="629" t="s">
        <v>30</v>
      </c>
      <c r="J34" s="622" t="s">
        <v>659</v>
      </c>
      <c r="K34" s="631" t="s">
        <v>38</v>
      </c>
      <c r="L34" s="404"/>
      <c r="M34" s="634"/>
      <c r="N34" s="411"/>
      <c r="O34" s="383"/>
      <c r="P34" s="384"/>
      <c r="Q34" s="385"/>
    </row>
    <row r="35" spans="1:17" s="159" customFormat="1" ht="15" x14ac:dyDescent="0.2">
      <c r="A35" s="638" t="s">
        <v>287</v>
      </c>
      <c r="B35" s="639" t="s">
        <v>914</v>
      </c>
      <c r="C35" s="859"/>
      <c r="D35" s="374" t="s">
        <v>730</v>
      </c>
      <c r="E35" s="255">
        <v>0</v>
      </c>
      <c r="F35" s="375">
        <f>C35*E35</f>
        <v>0</v>
      </c>
      <c r="G35" s="531"/>
      <c r="H35" s="377">
        <v>0</v>
      </c>
      <c r="I35" s="375">
        <f>G35*H35</f>
        <v>0</v>
      </c>
      <c r="J35" s="624"/>
      <c r="K35" s="532">
        <f>F35+I35+J35</f>
        <v>0</v>
      </c>
      <c r="L35" s="380" t="s">
        <v>1136</v>
      </c>
      <c r="M35" s="625">
        <v>28200</v>
      </c>
      <c r="N35" s="382"/>
      <c r="O35" s="383"/>
      <c r="P35" s="384"/>
      <c r="Q35" s="385"/>
    </row>
    <row r="36" spans="1:17" s="159" customFormat="1" x14ac:dyDescent="0.2">
      <c r="A36" s="208"/>
      <c r="B36" s="653"/>
      <c r="C36" s="648"/>
      <c r="D36" s="374" t="s">
        <v>730</v>
      </c>
      <c r="E36" s="255">
        <v>0</v>
      </c>
      <c r="F36" s="375">
        <f>C36*E36</f>
        <v>0</v>
      </c>
      <c r="G36" s="531"/>
      <c r="H36" s="377">
        <v>0</v>
      </c>
      <c r="I36" s="375">
        <f>G36*H36</f>
        <v>0</v>
      </c>
      <c r="J36" s="624"/>
      <c r="K36" s="532">
        <f>F36+I36+J36</f>
        <v>0</v>
      </c>
      <c r="L36" s="159" t="s">
        <v>1100</v>
      </c>
      <c r="M36" s="276">
        <v>24500</v>
      </c>
      <c r="O36" s="383"/>
      <c r="P36" s="384"/>
      <c r="Q36" s="385"/>
    </row>
    <row r="37" spans="1:17" s="159" customFormat="1" ht="15" x14ac:dyDescent="0.2">
      <c r="A37" s="195" t="s">
        <v>288</v>
      </c>
      <c r="B37" s="649" t="s">
        <v>289</v>
      </c>
      <c r="C37" s="648"/>
      <c r="D37" s="374" t="s">
        <v>730</v>
      </c>
      <c r="E37" s="255">
        <v>0</v>
      </c>
      <c r="F37" s="375">
        <f>C37*E37</f>
        <v>0</v>
      </c>
      <c r="G37" s="531"/>
      <c r="H37" s="377">
        <v>0</v>
      </c>
      <c r="I37" s="375">
        <f>G37*H37</f>
        <v>0</v>
      </c>
      <c r="J37" s="624"/>
      <c r="K37" s="532">
        <f>F37+I37+J37</f>
        <v>0</v>
      </c>
      <c r="L37" s="159" t="s">
        <v>1145</v>
      </c>
      <c r="M37" s="276">
        <v>22675</v>
      </c>
      <c r="O37" s="412"/>
      <c r="P37" s="413"/>
      <c r="Q37" s="385"/>
    </row>
    <row r="38" spans="1:17" s="159" customFormat="1" ht="15" x14ac:dyDescent="0.2">
      <c r="A38" s="195" t="s">
        <v>290</v>
      </c>
      <c r="B38" s="649" t="s">
        <v>63</v>
      </c>
      <c r="C38" s="648"/>
      <c r="D38" s="374" t="s">
        <v>730</v>
      </c>
      <c r="E38" s="255">
        <v>0</v>
      </c>
      <c r="F38" s="375">
        <f t="shared" ref="F38:F41" si="3">C38*E38</f>
        <v>0</v>
      </c>
      <c r="G38" s="531"/>
      <c r="H38" s="377">
        <v>0</v>
      </c>
      <c r="I38" s="375">
        <f t="shared" ref="I38:I41" si="4">G38*H38</f>
        <v>0</v>
      </c>
      <c r="J38" s="624"/>
      <c r="K38" s="532">
        <f t="shared" ref="K38:K41" si="5">F38+I38+J38</f>
        <v>0</v>
      </c>
      <c r="L38" s="380" t="s">
        <v>1149</v>
      </c>
      <c r="M38" s="303">
        <v>27471</v>
      </c>
      <c r="N38" s="423"/>
      <c r="O38" s="412"/>
      <c r="P38" s="413"/>
      <c r="Q38" s="385"/>
    </row>
    <row r="39" spans="1:17" s="159" customFormat="1" ht="15" x14ac:dyDescent="0.2">
      <c r="A39" s="860" t="s">
        <v>291</v>
      </c>
      <c r="B39" s="861" t="s">
        <v>78</v>
      </c>
      <c r="C39" s="862">
        <f>E6</f>
        <v>1747</v>
      </c>
      <c r="D39" s="840" t="s">
        <v>730</v>
      </c>
      <c r="E39" s="841">
        <v>12</v>
      </c>
      <c r="F39" s="842">
        <v>0</v>
      </c>
      <c r="G39" s="849"/>
      <c r="H39" s="844">
        <v>0</v>
      </c>
      <c r="I39" s="842">
        <f t="shared" si="4"/>
        <v>0</v>
      </c>
      <c r="J39" s="852">
        <f>M37</f>
        <v>22675</v>
      </c>
      <c r="K39" s="850">
        <f t="shared" si="5"/>
        <v>22675</v>
      </c>
      <c r="O39" s="412"/>
      <c r="P39" s="413"/>
      <c r="Q39" s="385"/>
    </row>
    <row r="40" spans="1:17" s="159" customFormat="1" ht="15" x14ac:dyDescent="0.2">
      <c r="A40" s="195" t="s">
        <v>292</v>
      </c>
      <c r="B40" s="649" t="s">
        <v>1137</v>
      </c>
      <c r="C40" s="859">
        <f>C39</f>
        <v>1747</v>
      </c>
      <c r="D40" s="374" t="s">
        <v>730</v>
      </c>
      <c r="E40" s="255">
        <v>2</v>
      </c>
      <c r="F40" s="375">
        <f t="shared" si="3"/>
        <v>3494</v>
      </c>
      <c r="G40" s="531"/>
      <c r="H40" s="377">
        <v>0</v>
      </c>
      <c r="I40" s="375">
        <f t="shared" si="4"/>
        <v>0</v>
      </c>
      <c r="J40" s="624"/>
      <c r="K40" s="532">
        <f t="shared" si="5"/>
        <v>3494</v>
      </c>
      <c r="O40" s="412"/>
      <c r="P40" s="413"/>
      <c r="Q40" s="385"/>
    </row>
    <row r="41" spans="1:17" s="159" customFormat="1" ht="15" x14ac:dyDescent="0.2">
      <c r="A41" s="195" t="s">
        <v>293</v>
      </c>
      <c r="B41" s="649" t="s">
        <v>917</v>
      </c>
      <c r="C41" s="648"/>
      <c r="D41" s="374" t="s">
        <v>730</v>
      </c>
      <c r="E41" s="255">
        <v>0</v>
      </c>
      <c r="F41" s="375">
        <f t="shared" si="3"/>
        <v>0</v>
      </c>
      <c r="G41" s="531"/>
      <c r="H41" s="377">
        <v>0</v>
      </c>
      <c r="I41" s="375">
        <f t="shared" si="4"/>
        <v>0</v>
      </c>
      <c r="J41" s="624"/>
      <c r="K41" s="532">
        <f t="shared" si="5"/>
        <v>0</v>
      </c>
      <c r="O41" s="412"/>
      <c r="P41" s="413"/>
      <c r="Q41" s="385"/>
    </row>
    <row r="42" spans="1:17" s="159" customFormat="1" x14ac:dyDescent="0.2">
      <c r="A42" s="372"/>
      <c r="B42" s="5"/>
      <c r="C42" s="648"/>
      <c r="D42" s="374"/>
      <c r="E42" s="255"/>
      <c r="F42" s="375"/>
      <c r="G42" s="531"/>
      <c r="H42" s="377"/>
      <c r="I42" s="375"/>
      <c r="J42" s="624"/>
      <c r="K42" s="532"/>
      <c r="L42" s="380"/>
      <c r="M42" s="303"/>
      <c r="N42" s="423"/>
      <c r="O42" s="412"/>
      <c r="P42" s="413"/>
      <c r="Q42" s="385"/>
    </row>
    <row r="43" spans="1:17" s="159" customFormat="1" x14ac:dyDescent="0.2">
      <c r="A43" s="372"/>
      <c r="B43" s="5"/>
      <c r="C43" s="648"/>
      <c r="D43" s="374"/>
      <c r="E43" s="255"/>
      <c r="F43" s="375"/>
      <c r="G43" s="531"/>
      <c r="H43" s="377"/>
      <c r="I43" s="375"/>
      <c r="J43" s="624"/>
      <c r="K43" s="532"/>
      <c r="L43" s="380"/>
      <c r="M43" s="303"/>
      <c r="N43" s="382"/>
      <c r="O43" s="383"/>
      <c r="P43" s="384"/>
      <c r="Q43" s="385"/>
    </row>
    <row r="44" spans="1:17" s="159" customFormat="1" x14ac:dyDescent="0.2">
      <c r="A44" s="372"/>
      <c r="B44" s="5"/>
      <c r="C44" s="648"/>
      <c r="D44" s="374"/>
      <c r="E44" s="255"/>
      <c r="F44" s="375"/>
      <c r="G44" s="531"/>
      <c r="H44" s="377"/>
      <c r="I44" s="375"/>
      <c r="J44" s="624"/>
      <c r="K44" s="532"/>
      <c r="M44" s="276"/>
      <c r="O44" s="383"/>
      <c r="P44" s="384"/>
      <c r="Q44" s="385"/>
    </row>
    <row r="45" spans="1:17" s="159" customFormat="1" x14ac:dyDescent="0.2">
      <c r="A45" s="372"/>
      <c r="B45" s="5"/>
      <c r="C45" s="648"/>
      <c r="D45" s="374"/>
      <c r="E45" s="255"/>
      <c r="F45" s="375"/>
      <c r="G45" s="531"/>
      <c r="H45" s="377"/>
      <c r="I45" s="375"/>
      <c r="J45" s="624"/>
      <c r="K45" s="532"/>
      <c r="L45" s="380" t="s">
        <v>1029</v>
      </c>
      <c r="M45" s="303">
        <v>5.18</v>
      </c>
      <c r="N45" s="423"/>
      <c r="O45" s="383"/>
      <c r="P45" s="413"/>
      <c r="Q45" s="385"/>
    </row>
    <row r="46" spans="1:17" s="159" customFormat="1" ht="13.5" thickBot="1" x14ac:dyDescent="0.25">
      <c r="A46" s="389"/>
      <c r="B46" s="414"/>
      <c r="C46" s="390"/>
      <c r="D46" s="374"/>
      <c r="E46" s="255"/>
      <c r="F46" s="375"/>
      <c r="G46" s="531"/>
      <c r="H46" s="377"/>
      <c r="I46" s="375"/>
      <c r="J46" s="624"/>
      <c r="K46" s="537"/>
      <c r="L46" s="380"/>
      <c r="M46" s="303"/>
      <c r="N46" s="423"/>
      <c r="O46" s="383"/>
      <c r="P46" s="384"/>
      <c r="Q46" s="385"/>
    </row>
    <row r="47" spans="1:17" s="159" customFormat="1" ht="13.5" thickTop="1" x14ac:dyDescent="0.2">
      <c r="A47" s="389"/>
      <c r="B47" s="414"/>
      <c r="C47" s="390"/>
      <c r="D47" s="374"/>
      <c r="E47" s="255"/>
      <c r="F47" s="375"/>
      <c r="G47" s="531"/>
      <c r="H47" s="377"/>
      <c r="I47" s="375"/>
      <c r="J47" s="391" t="s">
        <v>30</v>
      </c>
      <c r="K47" s="534">
        <f>SUM(K35:K46)</f>
        <v>26169</v>
      </c>
      <c r="L47" s="867" t="s">
        <v>1038</v>
      </c>
      <c r="M47" s="303">
        <v>16.07</v>
      </c>
      <c r="N47" s="423" t="s">
        <v>1062</v>
      </c>
      <c r="O47" s="383"/>
      <c r="P47" s="384"/>
      <c r="Q47" s="385"/>
    </row>
    <row r="48" spans="1:17" s="159" customFormat="1" ht="13.5" thickBot="1" x14ac:dyDescent="0.25">
      <c r="A48" s="616" t="s">
        <v>0</v>
      </c>
      <c r="B48" s="617" t="s">
        <v>1</v>
      </c>
      <c r="C48" s="948" t="s">
        <v>656</v>
      </c>
      <c r="D48" s="948"/>
      <c r="E48" s="948"/>
      <c r="F48" s="948"/>
      <c r="G48" s="948" t="s">
        <v>34</v>
      </c>
      <c r="H48" s="948"/>
      <c r="I48" s="948"/>
      <c r="J48" s="618"/>
      <c r="K48" s="525"/>
      <c r="L48" s="393"/>
      <c r="M48" s="618"/>
      <c r="N48" s="395"/>
      <c r="O48" s="383"/>
      <c r="P48" s="384"/>
      <c r="Q48" s="385"/>
    </row>
    <row r="49" spans="1:17" s="159" customFormat="1" ht="16.5" thickBot="1" x14ac:dyDescent="0.3">
      <c r="A49" s="581" t="s">
        <v>294</v>
      </c>
      <c r="B49" s="582" t="s">
        <v>65</v>
      </c>
      <c r="C49" s="627" t="s">
        <v>19</v>
      </c>
      <c r="D49" s="627" t="s">
        <v>33</v>
      </c>
      <c r="E49" s="628" t="s">
        <v>35</v>
      </c>
      <c r="F49" s="629" t="s">
        <v>30</v>
      </c>
      <c r="G49" s="630" t="s">
        <v>14</v>
      </c>
      <c r="H49" s="628" t="s">
        <v>35</v>
      </c>
      <c r="I49" s="629" t="s">
        <v>30</v>
      </c>
      <c r="J49" s="622" t="s">
        <v>659</v>
      </c>
      <c r="K49" s="631" t="s">
        <v>38</v>
      </c>
      <c r="L49" s="404"/>
      <c r="M49" s="634"/>
      <c r="N49" s="406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730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624"/>
      <c r="K50" s="532">
        <f>F50+I50+J50</f>
        <v>0</v>
      </c>
      <c r="N50" s="382"/>
      <c r="O50" s="383"/>
      <c r="P50" s="384"/>
      <c r="Q50" s="385"/>
    </row>
    <row r="51" spans="1:17" s="159" customFormat="1" x14ac:dyDescent="0.2">
      <c r="A51" s="372"/>
      <c r="B51" s="5"/>
      <c r="C51" s="373"/>
      <c r="D51" s="374" t="s">
        <v>730</v>
      </c>
      <c r="E51" s="255">
        <v>0</v>
      </c>
      <c r="F51" s="375">
        <f>C51*E51</f>
        <v>0</v>
      </c>
      <c r="G51" s="531"/>
      <c r="H51" s="377">
        <v>0</v>
      </c>
      <c r="I51" s="375">
        <f>G51*H51</f>
        <v>0</v>
      </c>
      <c r="J51" s="624"/>
      <c r="K51" s="532">
        <f>F51+I51+J51</f>
        <v>0</v>
      </c>
      <c r="N51" s="382"/>
      <c r="O51" s="383"/>
      <c r="P51" s="384"/>
      <c r="Q51" s="385"/>
    </row>
    <row r="52" spans="1:17" s="159" customFormat="1" ht="13.5" thickBot="1" x14ac:dyDescent="0.25">
      <c r="A52" s="389"/>
      <c r="B52" s="414"/>
      <c r="C52" s="373"/>
      <c r="D52" s="374"/>
      <c r="E52" s="255"/>
      <c r="F52" s="375"/>
      <c r="G52" s="531"/>
      <c r="H52" s="377"/>
      <c r="I52" s="375"/>
      <c r="J52" s="624"/>
      <c r="K52" s="532"/>
      <c r="N52" s="423"/>
      <c r="O52" s="438"/>
      <c r="P52" s="439"/>
      <c r="Q52" s="385"/>
    </row>
    <row r="53" spans="1:17" s="159" customFormat="1" ht="14.25" thickTop="1" thickBot="1" x14ac:dyDescent="0.25">
      <c r="A53" s="472"/>
      <c r="B53" s="156"/>
      <c r="C53" s="473"/>
      <c r="D53" s="474"/>
      <c r="E53" s="635"/>
      <c r="F53" s="476"/>
      <c r="G53" s="636"/>
      <c r="H53" s="635"/>
      <c r="I53" s="476"/>
      <c r="J53" s="478" t="s">
        <v>30</v>
      </c>
      <c r="K53" s="637">
        <f>SUM(K50:K52)</f>
        <v>0</v>
      </c>
      <c r="M53" s="276"/>
      <c r="O53" s="438"/>
      <c r="P53" s="439"/>
      <c r="Q53" s="385"/>
    </row>
    <row r="54" spans="1:17" s="159" customFormat="1" ht="13.5" thickBot="1" x14ac:dyDescent="0.25">
      <c r="A54" s="616" t="s">
        <v>0</v>
      </c>
      <c r="B54" s="617" t="s">
        <v>1</v>
      </c>
      <c r="C54" s="948" t="s">
        <v>656</v>
      </c>
      <c r="D54" s="948"/>
      <c r="E54" s="948"/>
      <c r="F54" s="948"/>
      <c r="G54" s="948" t="s">
        <v>34</v>
      </c>
      <c r="H54" s="948"/>
      <c r="I54" s="948"/>
      <c r="J54" s="618"/>
      <c r="K54" s="525"/>
      <c r="L54" s="393"/>
      <c r="M54" s="618"/>
      <c r="N54" s="440"/>
      <c r="O54" s="412"/>
      <c r="P54" s="413"/>
      <c r="Q54" s="385"/>
    </row>
    <row r="55" spans="1:17" s="159" customFormat="1" ht="16.5" thickBot="1" x14ac:dyDescent="0.3">
      <c r="A55" s="581" t="s">
        <v>295</v>
      </c>
      <c r="B55" s="582" t="s">
        <v>79</v>
      </c>
      <c r="C55" s="627" t="s">
        <v>19</v>
      </c>
      <c r="D55" s="627" t="s">
        <v>33</v>
      </c>
      <c r="E55" s="628" t="s">
        <v>35</v>
      </c>
      <c r="F55" s="629" t="s">
        <v>30</v>
      </c>
      <c r="G55" s="630" t="s">
        <v>14</v>
      </c>
      <c r="H55" s="628" t="s">
        <v>35</v>
      </c>
      <c r="I55" s="629" t="s">
        <v>30</v>
      </c>
      <c r="J55" s="622" t="s">
        <v>659</v>
      </c>
      <c r="K55" s="631" t="s">
        <v>38</v>
      </c>
      <c r="L55" s="404"/>
      <c r="M55" s="634"/>
      <c r="N55" s="411"/>
      <c r="O55" s="383"/>
      <c r="P55" s="384"/>
      <c r="Q55" s="385"/>
    </row>
    <row r="56" spans="1:17" s="159" customFormat="1" x14ac:dyDescent="0.2">
      <c r="A56" s="158" t="s">
        <v>296</v>
      </c>
      <c r="B56" s="864" t="s">
        <v>64</v>
      </c>
      <c r="C56" s="373"/>
      <c r="D56" s="374" t="s">
        <v>730</v>
      </c>
      <c r="E56" s="255">
        <v>0</v>
      </c>
      <c r="F56" s="375">
        <f>C56*E56</f>
        <v>0</v>
      </c>
      <c r="G56" s="531"/>
      <c r="H56" s="377">
        <v>0</v>
      </c>
      <c r="I56" s="375">
        <f>G56*H56</f>
        <v>0</v>
      </c>
      <c r="J56" s="624">
        <f>M56</f>
        <v>9192.44</v>
      </c>
      <c r="K56" s="532">
        <f>F56+I56+J56</f>
        <v>9192.44</v>
      </c>
      <c r="L56" s="380" t="s">
        <v>1113</v>
      </c>
      <c r="M56" s="625">
        <v>9192.44</v>
      </c>
      <c r="N56" s="382"/>
      <c r="O56" s="383"/>
      <c r="P56" s="384"/>
      <c r="Q56" s="385"/>
    </row>
    <row r="57" spans="1:17" s="159" customFormat="1" x14ac:dyDescent="0.2">
      <c r="A57" s="863" t="s">
        <v>297</v>
      </c>
      <c r="B57" s="864" t="s">
        <v>1163</v>
      </c>
      <c r="C57" s="857">
        <f>E6</f>
        <v>1747</v>
      </c>
      <c r="D57" s="840" t="s">
        <v>730</v>
      </c>
      <c r="E57" s="841">
        <v>6.46</v>
      </c>
      <c r="F57" s="842">
        <v>0</v>
      </c>
      <c r="G57" s="849"/>
      <c r="H57" s="844">
        <v>0</v>
      </c>
      <c r="I57" s="842">
        <f>G57*H57</f>
        <v>0</v>
      </c>
      <c r="J57" s="852">
        <f>M57</f>
        <v>3000</v>
      </c>
      <c r="K57" s="850">
        <f>F57+I57+J57</f>
        <v>3000</v>
      </c>
      <c r="L57" s="380" t="s">
        <v>1113</v>
      </c>
      <c r="M57" s="625">
        <v>3000</v>
      </c>
      <c r="N57" s="382"/>
      <c r="O57" s="383"/>
      <c r="P57" s="384"/>
      <c r="Q57" s="385"/>
    </row>
    <row r="58" spans="1:17" s="159" customFormat="1" ht="15" x14ac:dyDescent="0.2">
      <c r="A58" s="195"/>
      <c r="B58" s="649"/>
      <c r="C58" s="648"/>
      <c r="D58" s="374"/>
      <c r="E58" s="255"/>
      <c r="F58" s="375"/>
      <c r="G58" s="531"/>
      <c r="H58" s="377"/>
      <c r="I58" s="375"/>
      <c r="J58" s="624"/>
      <c r="K58" s="532"/>
      <c r="L58" s="380" t="s">
        <v>1097</v>
      </c>
      <c r="N58" s="382"/>
      <c r="O58" s="383"/>
      <c r="P58" s="384"/>
      <c r="Q58" s="385"/>
    </row>
    <row r="59" spans="1:17" s="159" customFormat="1" ht="15" x14ac:dyDescent="0.2">
      <c r="A59" s="195"/>
      <c r="B59" s="649"/>
      <c r="C59" s="648"/>
      <c r="D59" s="374"/>
      <c r="E59" s="255"/>
      <c r="F59" s="375"/>
      <c r="G59" s="531"/>
      <c r="H59" s="377"/>
      <c r="I59" s="375"/>
      <c r="J59" s="624"/>
      <c r="K59" s="532"/>
      <c r="L59" s="380" t="s">
        <v>1098</v>
      </c>
      <c r="N59" s="382"/>
      <c r="O59" s="383"/>
      <c r="P59" s="384"/>
      <c r="Q59" s="385"/>
    </row>
    <row r="60" spans="1:17" s="159" customFormat="1" ht="15" x14ac:dyDescent="0.2">
      <c r="A60" s="195"/>
      <c r="B60" s="649"/>
      <c r="C60" s="648"/>
      <c r="D60" s="374"/>
      <c r="E60" s="255"/>
      <c r="F60" s="375"/>
      <c r="G60" s="531"/>
      <c r="H60" s="377"/>
      <c r="I60" s="375"/>
      <c r="J60" s="624"/>
      <c r="K60" s="532"/>
      <c r="L60" s="380" t="s">
        <v>1142</v>
      </c>
      <c r="M60" s="625">
        <v>13040</v>
      </c>
      <c r="N60" s="382"/>
      <c r="O60" s="383"/>
      <c r="P60" s="384"/>
      <c r="Q60" s="385"/>
    </row>
    <row r="61" spans="1:17" s="159" customFormat="1" ht="15.75" thickBot="1" x14ac:dyDescent="0.25">
      <c r="A61" s="195"/>
      <c r="B61" s="649"/>
      <c r="C61" s="648"/>
      <c r="D61" s="374"/>
      <c r="E61" s="255"/>
      <c r="F61" s="375"/>
      <c r="G61" s="531"/>
      <c r="H61" s="377"/>
      <c r="I61" s="375"/>
      <c r="J61" s="303"/>
      <c r="K61" s="537"/>
      <c r="L61" s="380"/>
      <c r="M61" s="625"/>
      <c r="N61" s="382"/>
      <c r="O61" s="383"/>
      <c r="P61" s="384"/>
      <c r="Q61" s="385"/>
    </row>
    <row r="62" spans="1:17" s="159" customFormat="1" ht="14.25" thickTop="1" thickBot="1" x14ac:dyDescent="0.25">
      <c r="A62" s="472"/>
      <c r="B62" s="156"/>
      <c r="C62" s="473"/>
      <c r="D62" s="474"/>
      <c r="E62" s="635"/>
      <c r="F62" s="476"/>
      <c r="G62" s="636"/>
      <c r="H62" s="635"/>
      <c r="I62" s="476"/>
      <c r="J62" s="478" t="s">
        <v>30</v>
      </c>
      <c r="K62" s="637">
        <f>SUM(K56:K61)</f>
        <v>12192.44</v>
      </c>
      <c r="L62" s="867"/>
      <c r="M62" s="625"/>
      <c r="N62" s="382"/>
      <c r="O62" s="383"/>
      <c r="P62" s="384"/>
      <c r="Q62" s="385"/>
    </row>
    <row r="63" spans="1:17" s="159" customFormat="1" ht="14.1" customHeight="1" thickTop="1" x14ac:dyDescent="0.25">
      <c r="A63" s="480"/>
      <c r="B63" s="481"/>
      <c r="C63" s="482"/>
      <c r="D63" s="482"/>
      <c r="E63" s="644"/>
      <c r="F63" s="1077" t="s">
        <v>658</v>
      </c>
      <c r="G63" s="1001" t="s">
        <v>682</v>
      </c>
      <c r="H63" s="644"/>
      <c r="I63" s="1074" t="s">
        <v>657</v>
      </c>
      <c r="J63" s="967" t="s">
        <v>683</v>
      </c>
      <c r="K63" s="1066" t="s">
        <v>31</v>
      </c>
      <c r="L63" s="544"/>
      <c r="M63" s="654"/>
      <c r="N63" s="655"/>
      <c r="O63" s="656"/>
      <c r="P63" s="656"/>
      <c r="Q63" s="655"/>
    </row>
    <row r="64" spans="1:17" s="159" customFormat="1" ht="15" x14ac:dyDescent="0.25">
      <c r="A64" s="484" t="s">
        <v>32</v>
      </c>
      <c r="B64" s="1076" t="s">
        <v>29</v>
      </c>
      <c r="C64" s="485"/>
      <c r="D64" s="645"/>
      <c r="E64" s="645"/>
      <c r="F64" s="1078"/>
      <c r="G64" s="1002"/>
      <c r="H64" s="646"/>
      <c r="I64" s="1075"/>
      <c r="J64" s="968"/>
      <c r="K64" s="1067"/>
      <c r="M64" s="276"/>
      <c r="O64" s="496"/>
      <c r="P64" s="496"/>
    </row>
    <row r="65" spans="1:16" s="159" customFormat="1" ht="15" x14ac:dyDescent="0.25">
      <c r="A65" s="832" t="e">
        <f>K66/'Estimate Summary'!E6</f>
        <v>#VALUE!</v>
      </c>
      <c r="B65" s="1076"/>
      <c r="C65" s="645"/>
      <c r="D65" s="645"/>
      <c r="E65" s="645"/>
      <c r="F65" s="1068">
        <f>SUM(F56:F61,F35:F46,F29:F31,F21:F25,F11:F17,F50:F52)</f>
        <v>3494</v>
      </c>
      <c r="G65" s="1089">
        <f>SUM(G56:G61,G35:G46,G29:G31,G21:G25,G11:G17)</f>
        <v>0</v>
      </c>
      <c r="H65" s="646"/>
      <c r="I65" s="1068">
        <f>SUM(I56:I61,I35:I46,I29:I31,I21:I25,I11:I17,I50:I52)</f>
        <v>0</v>
      </c>
      <c r="J65" s="1068">
        <f>SUM(J56:J61,J35:J46,J29:J31,J21:J25,J11:J17,J50:J52)</f>
        <v>96617.44</v>
      </c>
      <c r="K65" s="1072">
        <f>K62+K53+K47+K32+K26+K18</f>
        <v>100111.44</v>
      </c>
      <c r="M65" s="276"/>
      <c r="O65" s="496"/>
      <c r="P65" s="496"/>
    </row>
    <row r="66" spans="1:16" s="159" customFormat="1" ht="15" thickBot="1" x14ac:dyDescent="0.25">
      <c r="A66" s="484"/>
      <c r="B66" s="552"/>
      <c r="C66" s="490"/>
      <c r="D66" s="490"/>
      <c r="E66" s="490"/>
      <c r="F66" s="1069"/>
      <c r="G66" s="1071"/>
      <c r="H66" s="490"/>
      <c r="I66" s="1069"/>
      <c r="J66" s="1069"/>
      <c r="K66" s="1073"/>
      <c r="M66" s="276"/>
      <c r="O66" s="496"/>
      <c r="P66" s="496"/>
    </row>
    <row r="67" spans="1:16" s="159" customFormat="1" ht="13.5" thickBot="1" x14ac:dyDescent="0.25">
      <c r="A67" s="491"/>
      <c r="B67" s="492"/>
      <c r="C67" s="492"/>
      <c r="D67" s="492"/>
      <c r="E67" s="492"/>
      <c r="F67" s="492"/>
      <c r="G67" s="492"/>
      <c r="H67" s="492"/>
      <c r="I67" s="492"/>
      <c r="J67" s="492"/>
      <c r="K67" s="493"/>
      <c r="M67" s="276"/>
      <c r="O67" s="496"/>
      <c r="P67" s="496"/>
    </row>
    <row r="68" spans="1:16" s="159" customFormat="1" x14ac:dyDescent="0.2">
      <c r="C68" s="657"/>
      <c r="D68" s="657"/>
      <c r="M68" s="276"/>
      <c r="O68" s="496"/>
      <c r="P68" s="496"/>
    </row>
    <row r="69" spans="1:16" s="159" customFormat="1" x14ac:dyDescent="0.2">
      <c r="C69" s="657"/>
      <c r="D69" s="657"/>
      <c r="M69" s="276"/>
      <c r="O69" s="496"/>
      <c r="P69" s="496"/>
    </row>
    <row r="70" spans="1:16" s="159" customFormat="1" x14ac:dyDescent="0.2">
      <c r="C70" s="657"/>
      <c r="D70" s="657"/>
      <c r="M70" s="276"/>
      <c r="O70" s="496"/>
      <c r="P70" s="496"/>
    </row>
    <row r="71" spans="1:16" s="159" customFormat="1" x14ac:dyDescent="0.2">
      <c r="C71" s="657"/>
      <c r="D71" s="657"/>
      <c r="M71" s="276"/>
      <c r="O71" s="496"/>
      <c r="P71" s="496"/>
    </row>
    <row r="72" spans="1:16" s="159" customFormat="1" x14ac:dyDescent="0.2">
      <c r="C72" s="657"/>
      <c r="D72" s="657"/>
      <c r="M72" s="276"/>
      <c r="O72" s="496"/>
      <c r="P72" s="496"/>
    </row>
    <row r="73" spans="1:16" s="159" customFormat="1" x14ac:dyDescent="0.2">
      <c r="C73" s="657"/>
      <c r="D73" s="657"/>
      <c r="M73" s="276"/>
      <c r="O73" s="496"/>
      <c r="P73" s="496"/>
    </row>
    <row r="74" spans="1:16" s="159" customFormat="1" x14ac:dyDescent="0.2">
      <c r="C74" s="657"/>
      <c r="D74" s="657"/>
      <c r="M74" s="276"/>
      <c r="O74" s="496"/>
      <c r="P74" s="496"/>
    </row>
    <row r="75" spans="1:16" s="159" customFormat="1" x14ac:dyDescent="0.2">
      <c r="C75" s="657"/>
      <c r="D75" s="657"/>
      <c r="M75" s="276"/>
      <c r="O75" s="496"/>
      <c r="P75" s="496"/>
    </row>
    <row r="76" spans="1:16" s="159" customFormat="1" x14ac:dyDescent="0.2">
      <c r="C76" s="657"/>
      <c r="D76" s="657"/>
      <c r="M76" s="276"/>
      <c r="O76" s="496"/>
      <c r="P76" s="496"/>
    </row>
    <row r="77" spans="1:16" s="159" customFormat="1" x14ac:dyDescent="0.2">
      <c r="C77" s="657"/>
      <c r="D77" s="657"/>
      <c r="M77" s="276"/>
      <c r="O77" s="496"/>
      <c r="P77" s="496"/>
    </row>
    <row r="78" spans="1:16" s="159" customFormat="1" x14ac:dyDescent="0.2">
      <c r="C78" s="657"/>
      <c r="D78" s="657"/>
      <c r="M78" s="276"/>
      <c r="O78" s="496"/>
      <c r="P78" s="496"/>
    </row>
    <row r="79" spans="1:16" s="159" customFormat="1" x14ac:dyDescent="0.2">
      <c r="C79" s="657"/>
      <c r="D79" s="657"/>
      <c r="M79" s="276"/>
      <c r="O79" s="496"/>
      <c r="P79" s="496"/>
    </row>
    <row r="80" spans="1:16" s="159" customFormat="1" x14ac:dyDescent="0.2">
      <c r="C80" s="657"/>
      <c r="D80" s="657"/>
      <c r="M80" s="276"/>
      <c r="O80" s="496"/>
      <c r="P80" s="496"/>
    </row>
    <row r="81" spans="3:16" s="159" customFormat="1" x14ac:dyDescent="0.2">
      <c r="C81" s="657"/>
      <c r="D81" s="657"/>
      <c r="M81" s="276"/>
      <c r="O81" s="496"/>
      <c r="P81" s="496"/>
    </row>
    <row r="82" spans="3:16" s="159" customFormat="1" x14ac:dyDescent="0.2">
      <c r="C82" s="657"/>
      <c r="D82" s="657"/>
      <c r="M82" s="276"/>
      <c r="O82" s="496"/>
      <c r="P82" s="496"/>
    </row>
    <row r="83" spans="3:16" s="159" customFormat="1" x14ac:dyDescent="0.2">
      <c r="C83" s="657"/>
      <c r="D83" s="657"/>
      <c r="M83" s="276"/>
      <c r="O83" s="496"/>
      <c r="P83" s="496"/>
    </row>
    <row r="84" spans="3:16" s="159" customFormat="1" x14ac:dyDescent="0.2">
      <c r="C84" s="657"/>
      <c r="D84" s="657"/>
      <c r="M84" s="276"/>
      <c r="O84" s="496"/>
      <c r="P84" s="496"/>
    </row>
    <row r="85" spans="3:16" s="159" customFormat="1" x14ac:dyDescent="0.2">
      <c r="C85" s="657"/>
      <c r="D85" s="657"/>
      <c r="M85" s="276"/>
      <c r="O85" s="496"/>
      <c r="P85" s="496"/>
    </row>
    <row r="86" spans="3:16" s="159" customFormat="1" x14ac:dyDescent="0.2">
      <c r="C86" s="657"/>
      <c r="D86" s="657"/>
      <c r="M86" s="276"/>
      <c r="O86" s="496"/>
      <c r="P86" s="496"/>
    </row>
    <row r="87" spans="3:16" s="159" customFormat="1" x14ac:dyDescent="0.2">
      <c r="C87" s="657"/>
      <c r="D87" s="657"/>
      <c r="M87" s="276"/>
      <c r="O87" s="496"/>
      <c r="P87" s="496"/>
    </row>
    <row r="88" spans="3:16" s="159" customFormat="1" x14ac:dyDescent="0.2">
      <c r="C88" s="657"/>
      <c r="D88" s="657"/>
      <c r="M88" s="276"/>
      <c r="O88" s="496"/>
      <c r="P88" s="496"/>
    </row>
    <row r="89" spans="3:16" s="159" customFormat="1" x14ac:dyDescent="0.2">
      <c r="C89" s="657"/>
      <c r="D89" s="657"/>
      <c r="M89" s="276"/>
      <c r="O89" s="496"/>
      <c r="P89" s="496"/>
    </row>
    <row r="90" spans="3:16" s="159" customFormat="1" x14ac:dyDescent="0.2">
      <c r="C90" s="657"/>
      <c r="D90" s="657"/>
      <c r="M90" s="276"/>
      <c r="O90" s="496"/>
      <c r="P90" s="496"/>
    </row>
    <row r="91" spans="3:16" s="159" customFormat="1" x14ac:dyDescent="0.2">
      <c r="C91" s="657"/>
      <c r="D91" s="657"/>
      <c r="M91" s="276"/>
      <c r="O91" s="496"/>
      <c r="P91" s="496"/>
    </row>
    <row r="92" spans="3:16" s="159" customFormat="1" x14ac:dyDescent="0.2">
      <c r="C92" s="657"/>
      <c r="D92" s="657"/>
      <c r="M92" s="276"/>
      <c r="O92" s="496"/>
      <c r="P92" s="496"/>
    </row>
    <row r="93" spans="3:16" s="159" customFormat="1" x14ac:dyDescent="0.2">
      <c r="C93" s="657"/>
      <c r="D93" s="657"/>
      <c r="M93" s="276"/>
      <c r="O93" s="496"/>
      <c r="P93" s="496"/>
    </row>
    <row r="94" spans="3:16" s="159" customFormat="1" x14ac:dyDescent="0.2">
      <c r="C94" s="657"/>
      <c r="D94" s="657"/>
      <c r="M94" s="276"/>
      <c r="O94" s="496"/>
      <c r="P94" s="496"/>
    </row>
    <row r="95" spans="3:16" s="159" customFormat="1" x14ac:dyDescent="0.2">
      <c r="C95" s="657"/>
      <c r="D95" s="657"/>
      <c r="M95" s="276"/>
      <c r="O95" s="496"/>
      <c r="P95" s="496"/>
    </row>
    <row r="96" spans="3:16" s="159" customFormat="1" x14ac:dyDescent="0.2">
      <c r="C96" s="657"/>
      <c r="D96" s="657"/>
      <c r="M96" s="276"/>
      <c r="O96" s="496"/>
      <c r="P96" s="496"/>
    </row>
    <row r="97" spans="3:16" s="159" customFormat="1" x14ac:dyDescent="0.2">
      <c r="C97" s="657"/>
      <c r="D97" s="657"/>
      <c r="M97" s="276"/>
      <c r="O97" s="496"/>
      <c r="P97" s="496"/>
    </row>
    <row r="98" spans="3:16" s="159" customFormat="1" x14ac:dyDescent="0.2">
      <c r="C98" s="657"/>
      <c r="D98" s="657"/>
      <c r="M98" s="276"/>
      <c r="O98" s="496"/>
      <c r="P98" s="496"/>
    </row>
    <row r="99" spans="3:16" s="159" customFormat="1" x14ac:dyDescent="0.2">
      <c r="C99" s="657"/>
      <c r="D99" s="657"/>
      <c r="M99" s="276"/>
      <c r="O99" s="496"/>
      <c r="P99" s="496"/>
    </row>
    <row r="100" spans="3:16" s="159" customFormat="1" x14ac:dyDescent="0.2">
      <c r="C100" s="657"/>
      <c r="D100" s="657"/>
      <c r="M100" s="276"/>
      <c r="O100" s="496"/>
      <c r="P100" s="496"/>
    </row>
    <row r="101" spans="3:16" s="159" customFormat="1" x14ac:dyDescent="0.2">
      <c r="C101" s="657"/>
      <c r="D101" s="657"/>
      <c r="M101" s="276"/>
      <c r="O101" s="496"/>
      <c r="P101" s="496"/>
    </row>
    <row r="102" spans="3:16" s="159" customFormat="1" x14ac:dyDescent="0.2">
      <c r="C102" s="657"/>
      <c r="D102" s="657"/>
      <c r="M102" s="276"/>
      <c r="O102" s="496"/>
      <c r="P102" s="496"/>
    </row>
    <row r="103" spans="3:16" s="159" customFormat="1" x14ac:dyDescent="0.2">
      <c r="C103" s="657"/>
      <c r="D103" s="657"/>
      <c r="M103" s="276"/>
      <c r="O103" s="496"/>
      <c r="P103" s="496"/>
    </row>
    <row r="104" spans="3:16" s="159" customFormat="1" x14ac:dyDescent="0.2">
      <c r="C104" s="657"/>
      <c r="D104" s="657"/>
      <c r="M104" s="276"/>
      <c r="O104" s="496"/>
      <c r="P104" s="496"/>
    </row>
    <row r="105" spans="3:16" s="159" customFormat="1" x14ac:dyDescent="0.2">
      <c r="C105" s="657"/>
      <c r="D105" s="657"/>
      <c r="M105" s="276"/>
      <c r="O105" s="496"/>
      <c r="P105" s="496"/>
    </row>
    <row r="106" spans="3:16" s="159" customFormat="1" x14ac:dyDescent="0.2">
      <c r="C106" s="657"/>
      <c r="D106" s="657"/>
      <c r="M106" s="276"/>
      <c r="O106" s="496"/>
      <c r="P106" s="496"/>
    </row>
    <row r="107" spans="3:16" s="159" customFormat="1" x14ac:dyDescent="0.2">
      <c r="C107" s="657"/>
      <c r="D107" s="657"/>
      <c r="M107" s="276"/>
      <c r="O107" s="496"/>
      <c r="P107" s="496"/>
    </row>
    <row r="108" spans="3:16" s="159" customFormat="1" x14ac:dyDescent="0.2">
      <c r="C108" s="657"/>
      <c r="D108" s="657"/>
      <c r="M108" s="276"/>
      <c r="O108" s="496"/>
      <c r="P108" s="496"/>
    </row>
    <row r="109" spans="3:16" s="159" customFormat="1" x14ac:dyDescent="0.2">
      <c r="C109" s="657"/>
      <c r="D109" s="657"/>
      <c r="M109" s="276"/>
      <c r="O109" s="496"/>
      <c r="P109" s="496"/>
    </row>
    <row r="110" spans="3:16" s="159" customFormat="1" x14ac:dyDescent="0.2">
      <c r="C110" s="657"/>
      <c r="D110" s="657"/>
      <c r="M110" s="276"/>
      <c r="O110" s="496"/>
      <c r="P110" s="496"/>
    </row>
    <row r="111" spans="3:16" s="159" customFormat="1" x14ac:dyDescent="0.2">
      <c r="C111" s="657"/>
      <c r="D111" s="657"/>
      <c r="M111" s="276"/>
      <c r="O111" s="496"/>
      <c r="P111" s="496"/>
    </row>
    <row r="112" spans="3:16" s="159" customFormat="1" x14ac:dyDescent="0.2">
      <c r="C112" s="657"/>
      <c r="D112" s="657"/>
      <c r="M112" s="276"/>
      <c r="O112" s="496"/>
      <c r="P112" s="496"/>
    </row>
    <row r="113" spans="3:16" s="159" customFormat="1" x14ac:dyDescent="0.2">
      <c r="C113" s="657"/>
      <c r="D113" s="657"/>
      <c r="M113" s="276"/>
      <c r="O113" s="496"/>
      <c r="P113" s="496"/>
    </row>
    <row r="114" spans="3:16" s="159" customFormat="1" x14ac:dyDescent="0.2">
      <c r="C114" s="657"/>
      <c r="D114" s="657"/>
      <c r="M114" s="276"/>
      <c r="O114" s="496"/>
      <c r="P114" s="496"/>
    </row>
    <row r="115" spans="3:16" s="159" customFormat="1" x14ac:dyDescent="0.2">
      <c r="C115" s="657"/>
      <c r="D115" s="657"/>
      <c r="M115" s="276"/>
      <c r="O115" s="496"/>
      <c r="P115" s="496"/>
    </row>
    <row r="116" spans="3:16" s="159" customFormat="1" x14ac:dyDescent="0.2">
      <c r="C116" s="657"/>
      <c r="D116" s="657"/>
      <c r="M116" s="276"/>
      <c r="O116" s="496"/>
      <c r="P116" s="496"/>
    </row>
    <row r="117" spans="3:16" s="159" customFormat="1" x14ac:dyDescent="0.2">
      <c r="C117" s="657"/>
      <c r="D117" s="657"/>
      <c r="M117" s="276"/>
      <c r="O117" s="496"/>
      <c r="P117" s="496"/>
    </row>
    <row r="118" spans="3:16" s="159" customFormat="1" x14ac:dyDescent="0.2">
      <c r="C118" s="657"/>
      <c r="D118" s="657"/>
      <c r="M118" s="276"/>
      <c r="O118" s="496"/>
      <c r="P118" s="496"/>
    </row>
    <row r="119" spans="3:16" s="159" customFormat="1" x14ac:dyDescent="0.2">
      <c r="C119" s="657"/>
      <c r="D119" s="657"/>
      <c r="M119" s="276"/>
      <c r="O119" s="496"/>
      <c r="P119" s="496"/>
    </row>
    <row r="120" spans="3:16" s="159" customFormat="1" x14ac:dyDescent="0.2">
      <c r="C120" s="657"/>
      <c r="D120" s="657"/>
      <c r="M120" s="276"/>
      <c r="O120" s="496"/>
      <c r="P120" s="496"/>
    </row>
    <row r="121" spans="3:16" s="159" customFormat="1" x14ac:dyDescent="0.2">
      <c r="C121" s="657"/>
      <c r="D121" s="657"/>
      <c r="M121" s="276"/>
      <c r="O121" s="496"/>
      <c r="P121" s="496"/>
    </row>
    <row r="122" spans="3:16" s="159" customFormat="1" x14ac:dyDescent="0.2">
      <c r="C122" s="657"/>
      <c r="D122" s="657"/>
      <c r="M122" s="276"/>
      <c r="O122" s="496"/>
      <c r="P122" s="496"/>
    </row>
    <row r="123" spans="3:16" s="159" customFormat="1" x14ac:dyDescent="0.2">
      <c r="C123" s="657"/>
      <c r="D123" s="657"/>
      <c r="M123" s="276"/>
      <c r="O123" s="496"/>
      <c r="P123" s="496"/>
    </row>
    <row r="124" spans="3:16" s="159" customFormat="1" x14ac:dyDescent="0.2">
      <c r="C124" s="657"/>
      <c r="D124" s="657"/>
      <c r="M124" s="276"/>
      <c r="O124" s="496"/>
      <c r="P124" s="496"/>
    </row>
    <row r="125" spans="3:16" s="159" customFormat="1" x14ac:dyDescent="0.2">
      <c r="C125" s="657"/>
      <c r="D125" s="657"/>
      <c r="M125" s="276"/>
      <c r="O125" s="496"/>
      <c r="P125" s="496"/>
    </row>
    <row r="126" spans="3:16" s="159" customFormat="1" x14ac:dyDescent="0.2">
      <c r="C126" s="657"/>
      <c r="D126" s="657"/>
      <c r="M126" s="276"/>
      <c r="O126" s="496"/>
      <c r="P126" s="496"/>
    </row>
    <row r="127" spans="3:16" s="159" customFormat="1" x14ac:dyDescent="0.2">
      <c r="C127" s="657"/>
      <c r="D127" s="657"/>
      <c r="M127" s="276"/>
      <c r="O127" s="496"/>
      <c r="P127" s="496"/>
    </row>
    <row r="128" spans="3:16" s="159" customFormat="1" x14ac:dyDescent="0.2">
      <c r="C128" s="657"/>
      <c r="D128" s="657"/>
      <c r="M128" s="276"/>
      <c r="O128" s="496"/>
      <c r="P128" s="496"/>
    </row>
    <row r="129" spans="3:16" s="159" customFormat="1" x14ac:dyDescent="0.2">
      <c r="C129" s="657"/>
      <c r="D129" s="657"/>
      <c r="M129" s="276"/>
      <c r="O129" s="496"/>
      <c r="P129" s="496"/>
    </row>
    <row r="130" spans="3:16" s="159" customFormat="1" x14ac:dyDescent="0.2">
      <c r="C130" s="657"/>
      <c r="D130" s="657"/>
      <c r="M130" s="276"/>
      <c r="O130" s="496"/>
      <c r="P130" s="496"/>
    </row>
    <row r="131" spans="3:16" s="159" customFormat="1" x14ac:dyDescent="0.2">
      <c r="C131" s="657"/>
      <c r="D131" s="657"/>
      <c r="M131" s="276"/>
      <c r="O131" s="496"/>
      <c r="P131" s="496"/>
    </row>
    <row r="132" spans="3:16" s="159" customFormat="1" x14ac:dyDescent="0.2">
      <c r="C132" s="657"/>
      <c r="D132" s="657"/>
      <c r="M132" s="276"/>
      <c r="O132" s="496"/>
      <c r="P132" s="496"/>
    </row>
    <row r="133" spans="3:16" s="159" customFormat="1" x14ac:dyDescent="0.2">
      <c r="C133" s="657"/>
      <c r="D133" s="657"/>
      <c r="M133" s="276"/>
      <c r="O133" s="496"/>
      <c r="P133" s="496"/>
    </row>
    <row r="134" spans="3:16" s="159" customFormat="1" x14ac:dyDescent="0.2">
      <c r="C134" s="657"/>
      <c r="D134" s="657"/>
      <c r="M134" s="276"/>
      <c r="O134" s="496"/>
      <c r="P134" s="496"/>
    </row>
    <row r="135" spans="3:16" s="159" customFormat="1" x14ac:dyDescent="0.2">
      <c r="C135" s="657"/>
      <c r="D135" s="657"/>
      <c r="M135" s="276"/>
      <c r="O135" s="496"/>
      <c r="P135" s="496"/>
    </row>
    <row r="136" spans="3:16" s="159" customFormat="1" x14ac:dyDescent="0.2">
      <c r="C136" s="657"/>
      <c r="D136" s="657"/>
      <c r="M136" s="276"/>
      <c r="O136" s="496"/>
      <c r="P136" s="496"/>
    </row>
    <row r="137" spans="3:16" s="159" customFormat="1" x14ac:dyDescent="0.2">
      <c r="C137" s="657"/>
      <c r="D137" s="657"/>
      <c r="M137" s="276"/>
      <c r="O137" s="496"/>
      <c r="P137" s="496"/>
    </row>
    <row r="138" spans="3:16" s="159" customFormat="1" x14ac:dyDescent="0.2">
      <c r="C138" s="657"/>
      <c r="D138" s="657"/>
      <c r="M138" s="276"/>
      <c r="O138" s="496"/>
      <c r="P138" s="496"/>
    </row>
    <row r="139" spans="3:16" s="159" customFormat="1" x14ac:dyDescent="0.2">
      <c r="C139" s="657"/>
      <c r="D139" s="657"/>
      <c r="M139" s="276"/>
      <c r="O139" s="496"/>
      <c r="P139" s="496"/>
    </row>
    <row r="140" spans="3:16" s="159" customFormat="1" x14ac:dyDescent="0.2">
      <c r="C140" s="657"/>
      <c r="D140" s="657"/>
      <c r="M140" s="276"/>
      <c r="O140" s="496"/>
      <c r="P140" s="496"/>
    </row>
    <row r="141" spans="3:16" s="159" customFormat="1" x14ac:dyDescent="0.2">
      <c r="C141" s="657"/>
      <c r="D141" s="657"/>
      <c r="M141" s="276"/>
      <c r="O141" s="496"/>
      <c r="P141" s="496"/>
    </row>
    <row r="142" spans="3:16" s="159" customFormat="1" x14ac:dyDescent="0.2">
      <c r="C142" s="657"/>
      <c r="D142" s="657"/>
      <c r="M142" s="276"/>
      <c r="O142" s="496"/>
      <c r="P142" s="496"/>
    </row>
    <row r="143" spans="3:16" s="159" customFormat="1" x14ac:dyDescent="0.2">
      <c r="C143" s="657"/>
      <c r="D143" s="657"/>
      <c r="M143" s="276"/>
      <c r="O143" s="496"/>
      <c r="P143" s="496"/>
    </row>
    <row r="144" spans="3:16" s="159" customFormat="1" x14ac:dyDescent="0.2">
      <c r="C144" s="657"/>
      <c r="D144" s="657"/>
      <c r="M144" s="276"/>
      <c r="O144" s="496"/>
      <c r="P144" s="496"/>
    </row>
    <row r="145" spans="3:16" s="159" customFormat="1" x14ac:dyDescent="0.2">
      <c r="C145" s="657"/>
      <c r="D145" s="657"/>
      <c r="M145" s="276"/>
      <c r="O145" s="496"/>
      <c r="P145" s="496"/>
    </row>
    <row r="146" spans="3:16" s="159" customFormat="1" x14ac:dyDescent="0.2">
      <c r="C146" s="657"/>
      <c r="D146" s="657"/>
      <c r="M146" s="276"/>
      <c r="O146" s="496"/>
      <c r="P146" s="496"/>
    </row>
    <row r="147" spans="3:16" s="159" customFormat="1" x14ac:dyDescent="0.2">
      <c r="C147" s="657"/>
      <c r="D147" s="657"/>
      <c r="M147" s="276"/>
      <c r="O147" s="496"/>
      <c r="P147" s="496"/>
    </row>
    <row r="148" spans="3:16" s="159" customFormat="1" x14ac:dyDescent="0.2">
      <c r="C148" s="657"/>
      <c r="D148" s="657"/>
      <c r="M148" s="276"/>
      <c r="O148" s="496"/>
      <c r="P148" s="496"/>
    </row>
    <row r="149" spans="3:16" s="159" customFormat="1" x14ac:dyDescent="0.2">
      <c r="C149" s="657"/>
      <c r="D149" s="657"/>
      <c r="M149" s="276"/>
      <c r="O149" s="496"/>
      <c r="P149" s="496"/>
    </row>
    <row r="150" spans="3:16" s="159" customFormat="1" x14ac:dyDescent="0.2">
      <c r="C150" s="657"/>
      <c r="D150" s="657"/>
      <c r="M150" s="276"/>
      <c r="O150" s="496"/>
      <c r="P150" s="496"/>
    </row>
    <row r="151" spans="3:16" s="159" customFormat="1" x14ac:dyDescent="0.2">
      <c r="C151" s="657"/>
      <c r="D151" s="657"/>
      <c r="M151" s="276"/>
      <c r="O151" s="496"/>
      <c r="P151" s="496"/>
    </row>
    <row r="152" spans="3:16" s="159" customFormat="1" x14ac:dyDescent="0.2">
      <c r="C152" s="657"/>
      <c r="D152" s="657"/>
      <c r="M152" s="276"/>
      <c r="O152" s="496"/>
      <c r="P152" s="496"/>
    </row>
    <row r="153" spans="3:16" s="159" customFormat="1" x14ac:dyDescent="0.2">
      <c r="C153" s="657"/>
      <c r="D153" s="657"/>
      <c r="M153" s="276"/>
      <c r="O153" s="496"/>
      <c r="P153" s="496"/>
    </row>
    <row r="154" spans="3:16" s="159" customFormat="1" x14ac:dyDescent="0.2">
      <c r="C154" s="657"/>
      <c r="D154" s="657"/>
      <c r="M154" s="276"/>
      <c r="O154" s="496"/>
      <c r="P154" s="496"/>
    </row>
    <row r="155" spans="3:16" s="159" customFormat="1" x14ac:dyDescent="0.2">
      <c r="C155" s="657"/>
      <c r="D155" s="657"/>
      <c r="M155" s="276"/>
      <c r="O155" s="496"/>
      <c r="P155" s="496"/>
    </row>
    <row r="156" spans="3:16" s="159" customFormat="1" x14ac:dyDescent="0.2">
      <c r="C156" s="657"/>
      <c r="D156" s="657"/>
      <c r="M156" s="276"/>
      <c r="O156" s="496"/>
      <c r="P156" s="496"/>
    </row>
    <row r="157" spans="3:16" s="159" customFormat="1" x14ac:dyDescent="0.2">
      <c r="C157" s="657"/>
      <c r="D157" s="657"/>
      <c r="M157" s="276"/>
      <c r="O157" s="496"/>
      <c r="P157" s="496"/>
    </row>
    <row r="158" spans="3:16" s="159" customFormat="1" x14ac:dyDescent="0.2">
      <c r="C158" s="657"/>
      <c r="D158" s="657"/>
      <c r="M158" s="276"/>
      <c r="O158" s="496"/>
      <c r="P158" s="496"/>
    </row>
    <row r="159" spans="3:16" s="159" customFormat="1" x14ac:dyDescent="0.2">
      <c r="C159" s="657"/>
      <c r="D159" s="657"/>
      <c r="M159" s="276"/>
      <c r="O159" s="496"/>
      <c r="P159" s="496"/>
    </row>
    <row r="160" spans="3:16" s="159" customFormat="1" x14ac:dyDescent="0.2">
      <c r="C160" s="657"/>
      <c r="D160" s="657"/>
      <c r="M160" s="276"/>
      <c r="O160" s="496"/>
      <c r="P160" s="496"/>
    </row>
    <row r="161" spans="3:16" s="159" customFormat="1" x14ac:dyDescent="0.2">
      <c r="C161" s="657"/>
      <c r="D161" s="657"/>
      <c r="M161" s="276"/>
      <c r="O161" s="496"/>
      <c r="P161" s="496"/>
    </row>
    <row r="162" spans="3:16" s="159" customFormat="1" x14ac:dyDescent="0.2">
      <c r="C162" s="657"/>
      <c r="D162" s="657"/>
      <c r="M162" s="276"/>
      <c r="O162" s="496"/>
      <c r="P162" s="496"/>
    </row>
    <row r="163" spans="3:16" s="159" customFormat="1" x14ac:dyDescent="0.2">
      <c r="C163" s="657"/>
      <c r="D163" s="657"/>
      <c r="M163" s="276"/>
      <c r="O163" s="496"/>
      <c r="P163" s="496"/>
    </row>
    <row r="164" spans="3:16" s="159" customFormat="1" x14ac:dyDescent="0.2">
      <c r="C164" s="657"/>
      <c r="D164" s="657"/>
      <c r="M164" s="276"/>
      <c r="O164" s="496"/>
      <c r="P164" s="496"/>
    </row>
    <row r="165" spans="3:16" s="159" customFormat="1" x14ac:dyDescent="0.2">
      <c r="C165" s="657"/>
      <c r="D165" s="657"/>
      <c r="M165" s="276"/>
      <c r="O165" s="496"/>
      <c r="P165" s="496"/>
    </row>
    <row r="166" spans="3:16" s="159" customFormat="1" x14ac:dyDescent="0.2">
      <c r="C166" s="657"/>
      <c r="D166" s="657"/>
      <c r="M166" s="276"/>
      <c r="O166" s="496"/>
      <c r="P166" s="496"/>
    </row>
    <row r="167" spans="3:16" s="159" customFormat="1" x14ac:dyDescent="0.2">
      <c r="C167" s="657"/>
      <c r="D167" s="657"/>
      <c r="M167" s="276"/>
      <c r="O167" s="496"/>
      <c r="P167" s="496"/>
    </row>
    <row r="168" spans="3:16" s="159" customFormat="1" x14ac:dyDescent="0.2">
      <c r="C168" s="657"/>
      <c r="D168" s="657"/>
      <c r="M168" s="276"/>
      <c r="O168" s="496"/>
      <c r="P168" s="496"/>
    </row>
    <row r="169" spans="3:16" s="159" customFormat="1" x14ac:dyDescent="0.2">
      <c r="C169" s="657"/>
      <c r="D169" s="657"/>
      <c r="M169" s="276"/>
      <c r="O169" s="496"/>
      <c r="P169" s="496"/>
    </row>
    <row r="170" spans="3:16" s="159" customFormat="1" x14ac:dyDescent="0.2">
      <c r="C170" s="657"/>
      <c r="D170" s="657"/>
      <c r="M170" s="276"/>
      <c r="O170" s="496"/>
      <c r="P170" s="496"/>
    </row>
    <row r="171" spans="3:16" s="159" customFormat="1" x14ac:dyDescent="0.2">
      <c r="C171" s="657"/>
      <c r="D171" s="657"/>
      <c r="M171" s="276"/>
      <c r="O171" s="496"/>
      <c r="P171" s="496"/>
    </row>
    <row r="172" spans="3:16" s="159" customFormat="1" x14ac:dyDescent="0.2">
      <c r="C172" s="657"/>
      <c r="D172" s="657"/>
      <c r="M172" s="276"/>
      <c r="O172" s="496"/>
      <c r="P172" s="496"/>
    </row>
    <row r="173" spans="3:16" s="159" customFormat="1" x14ac:dyDescent="0.2">
      <c r="C173" s="657"/>
      <c r="D173" s="657"/>
      <c r="M173" s="276"/>
      <c r="O173" s="496"/>
      <c r="P173" s="496"/>
    </row>
    <row r="174" spans="3:16" s="159" customFormat="1" x14ac:dyDescent="0.2">
      <c r="C174" s="657"/>
      <c r="D174" s="657"/>
      <c r="M174" s="276"/>
      <c r="O174" s="496"/>
      <c r="P174" s="496"/>
    </row>
    <row r="175" spans="3:16" s="159" customFormat="1" x14ac:dyDescent="0.2">
      <c r="C175" s="657"/>
      <c r="D175" s="657"/>
      <c r="M175" s="276"/>
      <c r="O175" s="496"/>
      <c r="P175" s="496"/>
    </row>
    <row r="176" spans="3:16" s="159" customFormat="1" x14ac:dyDescent="0.2">
      <c r="C176" s="657"/>
      <c r="D176" s="657"/>
      <c r="M176" s="276"/>
      <c r="O176" s="496"/>
      <c r="P176" s="496"/>
    </row>
    <row r="177" spans="3:16" s="159" customFormat="1" x14ac:dyDescent="0.2">
      <c r="C177" s="657"/>
      <c r="D177" s="657"/>
      <c r="M177" s="276"/>
      <c r="O177" s="496"/>
      <c r="P177" s="496"/>
    </row>
    <row r="178" spans="3:16" s="159" customFormat="1" x14ac:dyDescent="0.2">
      <c r="C178" s="657"/>
      <c r="D178" s="657"/>
      <c r="M178" s="276"/>
      <c r="O178" s="496"/>
      <c r="P178" s="496"/>
    </row>
    <row r="179" spans="3:16" s="159" customFormat="1" x14ac:dyDescent="0.2">
      <c r="C179" s="657"/>
      <c r="D179" s="657"/>
      <c r="M179" s="276"/>
      <c r="O179" s="496"/>
      <c r="P179" s="496"/>
    </row>
    <row r="180" spans="3:16" s="159" customFormat="1" x14ac:dyDescent="0.2">
      <c r="C180" s="657"/>
      <c r="D180" s="657"/>
      <c r="M180" s="276"/>
      <c r="O180" s="496"/>
      <c r="P180" s="496"/>
    </row>
    <row r="181" spans="3:16" s="159" customFormat="1" x14ac:dyDescent="0.2">
      <c r="C181" s="657"/>
      <c r="D181" s="657"/>
      <c r="M181" s="276"/>
      <c r="O181" s="496"/>
      <c r="P181" s="496"/>
    </row>
    <row r="182" spans="3:16" s="159" customFormat="1" x14ac:dyDescent="0.2">
      <c r="C182" s="657"/>
      <c r="D182" s="657"/>
      <c r="M182" s="276"/>
      <c r="O182" s="496"/>
      <c r="P182" s="496"/>
    </row>
    <row r="183" spans="3:16" s="159" customFormat="1" x14ac:dyDescent="0.2">
      <c r="C183" s="657"/>
      <c r="D183" s="657"/>
      <c r="M183" s="276"/>
      <c r="O183" s="496"/>
      <c r="P183" s="496"/>
    </row>
    <row r="184" spans="3:16" s="159" customFormat="1" x14ac:dyDescent="0.2">
      <c r="C184" s="657"/>
      <c r="D184" s="657"/>
      <c r="M184" s="276"/>
      <c r="O184" s="496"/>
      <c r="P184" s="496"/>
    </row>
    <row r="185" spans="3:16" s="159" customFormat="1" x14ac:dyDescent="0.2">
      <c r="C185" s="657"/>
      <c r="D185" s="657"/>
      <c r="M185" s="276"/>
      <c r="O185" s="496"/>
      <c r="P185" s="496"/>
    </row>
    <row r="186" spans="3:16" s="159" customFormat="1" x14ac:dyDescent="0.2">
      <c r="C186" s="657"/>
      <c r="D186" s="657"/>
      <c r="M186" s="276"/>
      <c r="O186" s="496"/>
      <c r="P186" s="496"/>
    </row>
    <row r="187" spans="3:16" s="159" customFormat="1" x14ac:dyDescent="0.2">
      <c r="C187" s="657"/>
      <c r="D187" s="657"/>
      <c r="M187" s="276"/>
      <c r="O187" s="496"/>
      <c r="P187" s="496"/>
    </row>
    <row r="188" spans="3:16" s="159" customFormat="1" x14ac:dyDescent="0.2">
      <c r="C188" s="657"/>
      <c r="D188" s="657"/>
      <c r="M188" s="276"/>
      <c r="O188" s="496"/>
      <c r="P188" s="496"/>
    </row>
    <row r="189" spans="3:16" s="159" customFormat="1" x14ac:dyDescent="0.2">
      <c r="C189" s="657"/>
      <c r="D189" s="657"/>
      <c r="M189" s="276"/>
      <c r="O189" s="496"/>
      <c r="P189" s="496"/>
    </row>
    <row r="190" spans="3:16" s="159" customFormat="1" x14ac:dyDescent="0.2">
      <c r="C190" s="657"/>
      <c r="D190" s="657"/>
      <c r="M190" s="276"/>
      <c r="O190" s="496"/>
      <c r="P190" s="496"/>
    </row>
    <row r="191" spans="3:16" s="159" customFormat="1" x14ac:dyDescent="0.2">
      <c r="C191" s="657"/>
      <c r="D191" s="657"/>
      <c r="M191" s="276"/>
      <c r="O191" s="496"/>
      <c r="P191" s="496"/>
    </row>
    <row r="192" spans="3:16" s="159" customFormat="1" x14ac:dyDescent="0.2">
      <c r="C192" s="657"/>
      <c r="D192" s="657"/>
      <c r="M192" s="276"/>
      <c r="O192" s="496"/>
      <c r="P192" s="496"/>
    </row>
    <row r="193" spans="3:16" s="159" customFormat="1" x14ac:dyDescent="0.2">
      <c r="C193" s="657"/>
      <c r="D193" s="657"/>
      <c r="M193" s="276"/>
      <c r="O193" s="496"/>
      <c r="P193" s="496"/>
    </row>
    <row r="194" spans="3:16" s="159" customFormat="1" x14ac:dyDescent="0.2">
      <c r="C194" s="657"/>
      <c r="D194" s="657"/>
      <c r="M194" s="276"/>
      <c r="O194" s="496"/>
      <c r="P194" s="496"/>
    </row>
    <row r="195" spans="3:16" s="159" customFormat="1" x14ac:dyDescent="0.2">
      <c r="C195" s="657"/>
      <c r="D195" s="657"/>
      <c r="M195" s="276"/>
      <c r="O195" s="496"/>
      <c r="P195" s="496"/>
    </row>
    <row r="196" spans="3:16" s="159" customFormat="1" x14ac:dyDescent="0.2">
      <c r="C196" s="657"/>
      <c r="D196" s="657"/>
      <c r="M196" s="276"/>
      <c r="O196" s="496"/>
      <c r="P196" s="496"/>
    </row>
    <row r="197" spans="3:16" s="159" customFormat="1" x14ac:dyDescent="0.2">
      <c r="C197" s="657"/>
      <c r="D197" s="657"/>
      <c r="M197" s="276"/>
      <c r="O197" s="496"/>
      <c r="P197" s="496"/>
    </row>
    <row r="198" spans="3:16" s="159" customFormat="1" x14ac:dyDescent="0.2">
      <c r="C198" s="657"/>
      <c r="D198" s="657"/>
      <c r="M198" s="276"/>
      <c r="O198" s="496"/>
      <c r="P198" s="496"/>
    </row>
    <row r="199" spans="3:16" s="159" customFormat="1" x14ac:dyDescent="0.2">
      <c r="C199" s="657"/>
      <c r="D199" s="657"/>
      <c r="M199" s="276"/>
      <c r="O199" s="496"/>
      <c r="P199" s="496"/>
    </row>
    <row r="200" spans="3:16" s="159" customFormat="1" x14ac:dyDescent="0.2">
      <c r="C200" s="657"/>
      <c r="D200" s="657"/>
      <c r="M200" s="276"/>
      <c r="O200" s="496"/>
      <c r="P200" s="496"/>
    </row>
    <row r="201" spans="3:16" s="159" customFormat="1" x14ac:dyDescent="0.2">
      <c r="C201" s="657"/>
      <c r="D201" s="657"/>
      <c r="M201" s="276"/>
      <c r="O201" s="496"/>
      <c r="P201" s="496"/>
    </row>
    <row r="202" spans="3:16" s="159" customFormat="1" x14ac:dyDescent="0.2">
      <c r="C202" s="657"/>
      <c r="D202" s="657"/>
      <c r="M202" s="276"/>
      <c r="O202" s="496"/>
      <c r="P202" s="496"/>
    </row>
    <row r="203" spans="3:16" s="159" customFormat="1" x14ac:dyDescent="0.2">
      <c r="C203" s="657"/>
      <c r="D203" s="657"/>
      <c r="M203" s="276"/>
      <c r="O203" s="496"/>
      <c r="P203" s="496"/>
    </row>
    <row r="204" spans="3:16" s="159" customFormat="1" x14ac:dyDescent="0.2">
      <c r="C204" s="657"/>
      <c r="D204" s="657"/>
      <c r="M204" s="276"/>
      <c r="O204" s="496"/>
      <c r="P204" s="496"/>
    </row>
    <row r="205" spans="3:16" s="159" customFormat="1" x14ac:dyDescent="0.2">
      <c r="C205" s="657"/>
      <c r="D205" s="657"/>
      <c r="M205" s="276"/>
      <c r="O205" s="496"/>
      <c r="P205" s="496"/>
    </row>
    <row r="206" spans="3:16" s="159" customFormat="1" x14ac:dyDescent="0.2">
      <c r="C206" s="657"/>
      <c r="D206" s="657"/>
      <c r="M206" s="276"/>
      <c r="O206" s="496"/>
      <c r="P206" s="496"/>
    </row>
    <row r="207" spans="3:16" s="159" customFormat="1" x14ac:dyDescent="0.2">
      <c r="C207" s="657"/>
      <c r="D207" s="657"/>
      <c r="M207" s="276"/>
      <c r="O207" s="496"/>
      <c r="P207" s="496"/>
    </row>
    <row r="208" spans="3:16" s="159" customFormat="1" x14ac:dyDescent="0.2">
      <c r="C208" s="657"/>
      <c r="D208" s="657"/>
      <c r="M208" s="276"/>
      <c r="O208" s="496"/>
      <c r="P208" s="496"/>
    </row>
    <row r="209" spans="3:16" s="159" customFormat="1" x14ac:dyDescent="0.2">
      <c r="C209" s="657"/>
      <c r="D209" s="657"/>
      <c r="M209" s="276"/>
      <c r="O209" s="496"/>
      <c r="P209" s="496"/>
    </row>
    <row r="210" spans="3:16" s="159" customFormat="1" x14ac:dyDescent="0.2">
      <c r="C210" s="657"/>
      <c r="D210" s="657"/>
      <c r="M210" s="276"/>
      <c r="O210" s="496"/>
      <c r="P210" s="496"/>
    </row>
    <row r="211" spans="3:16" s="159" customFormat="1" x14ac:dyDescent="0.2">
      <c r="C211" s="657"/>
      <c r="D211" s="657"/>
      <c r="M211" s="276"/>
      <c r="O211" s="496"/>
      <c r="P211" s="496"/>
    </row>
    <row r="212" spans="3:16" s="159" customFormat="1" x14ac:dyDescent="0.2">
      <c r="C212" s="657"/>
      <c r="D212" s="657"/>
      <c r="M212" s="276"/>
      <c r="O212" s="496"/>
      <c r="P212" s="496"/>
    </row>
    <row r="213" spans="3:16" s="159" customFormat="1" x14ac:dyDescent="0.2">
      <c r="C213" s="657"/>
      <c r="D213" s="657"/>
      <c r="M213" s="276"/>
      <c r="O213" s="496"/>
      <c r="P213" s="496"/>
    </row>
    <row r="214" spans="3:16" s="159" customFormat="1" x14ac:dyDescent="0.2">
      <c r="C214" s="657"/>
      <c r="D214" s="657"/>
      <c r="M214" s="276"/>
      <c r="O214" s="496"/>
      <c r="P214" s="496"/>
    </row>
    <row r="215" spans="3:16" s="159" customFormat="1" x14ac:dyDescent="0.2">
      <c r="C215" s="657"/>
      <c r="D215" s="657"/>
      <c r="M215" s="276"/>
      <c r="O215" s="496"/>
      <c r="P215" s="496"/>
    </row>
    <row r="216" spans="3:16" s="159" customFormat="1" x14ac:dyDescent="0.2">
      <c r="C216" s="657"/>
      <c r="D216" s="657"/>
      <c r="M216" s="276"/>
      <c r="O216" s="496"/>
      <c r="P216" s="496"/>
    </row>
    <row r="217" spans="3:16" s="159" customFormat="1" x14ac:dyDescent="0.2">
      <c r="C217" s="657"/>
      <c r="D217" s="657"/>
      <c r="M217" s="276"/>
      <c r="O217" s="496"/>
      <c r="P217" s="496"/>
    </row>
    <row r="218" spans="3:16" s="159" customFormat="1" x14ac:dyDescent="0.2">
      <c r="C218" s="657"/>
      <c r="D218" s="657"/>
      <c r="M218" s="276"/>
      <c r="O218" s="496"/>
      <c r="P218" s="496"/>
    </row>
    <row r="219" spans="3:16" s="159" customFormat="1" x14ac:dyDescent="0.2">
      <c r="C219" s="657"/>
      <c r="D219" s="657"/>
      <c r="M219" s="276"/>
      <c r="O219" s="496"/>
      <c r="P219" s="496"/>
    </row>
    <row r="220" spans="3:16" s="159" customFormat="1" x14ac:dyDescent="0.2">
      <c r="C220" s="657"/>
      <c r="D220" s="657"/>
      <c r="M220" s="276"/>
      <c r="O220" s="496"/>
      <c r="P220" s="496"/>
    </row>
    <row r="221" spans="3:16" s="159" customFormat="1" x14ac:dyDescent="0.2">
      <c r="C221" s="657"/>
      <c r="D221" s="657"/>
      <c r="M221" s="276"/>
      <c r="O221" s="496"/>
      <c r="P221" s="496"/>
    </row>
    <row r="222" spans="3:16" s="159" customFormat="1" x14ac:dyDescent="0.2">
      <c r="C222" s="657"/>
      <c r="D222" s="657"/>
      <c r="M222" s="276"/>
      <c r="O222" s="496"/>
      <c r="P222" s="496"/>
    </row>
    <row r="223" spans="3:16" s="159" customFormat="1" x14ac:dyDescent="0.2">
      <c r="C223" s="657"/>
      <c r="D223" s="657"/>
      <c r="M223" s="276"/>
      <c r="O223" s="496"/>
      <c r="P223" s="496"/>
    </row>
    <row r="224" spans="3:16" s="159" customFormat="1" x14ac:dyDescent="0.2">
      <c r="C224" s="657"/>
      <c r="D224" s="657"/>
      <c r="M224" s="276"/>
      <c r="O224" s="496"/>
      <c r="P224" s="496"/>
    </row>
    <row r="225" spans="3:16" s="159" customFormat="1" x14ac:dyDescent="0.2">
      <c r="C225" s="657"/>
      <c r="D225" s="657"/>
      <c r="M225" s="276"/>
      <c r="O225" s="496"/>
      <c r="P225" s="496"/>
    </row>
    <row r="226" spans="3:16" s="159" customFormat="1" x14ac:dyDescent="0.2">
      <c r="C226" s="657"/>
      <c r="D226" s="657"/>
      <c r="M226" s="276"/>
      <c r="O226" s="496"/>
      <c r="P226" s="496"/>
    </row>
    <row r="227" spans="3:16" s="159" customFormat="1" x14ac:dyDescent="0.2">
      <c r="C227" s="657"/>
      <c r="D227" s="657"/>
      <c r="M227" s="276"/>
      <c r="O227" s="496"/>
      <c r="P227" s="496"/>
    </row>
    <row r="228" spans="3:16" s="159" customFormat="1" x14ac:dyDescent="0.2">
      <c r="C228" s="657"/>
      <c r="D228" s="657"/>
      <c r="M228" s="276"/>
      <c r="O228" s="496"/>
      <c r="P228" s="496"/>
    </row>
    <row r="229" spans="3:16" s="159" customFormat="1" x14ac:dyDescent="0.2">
      <c r="C229" s="657"/>
      <c r="D229" s="657"/>
      <c r="M229" s="276"/>
      <c r="O229" s="496"/>
      <c r="P229" s="496"/>
    </row>
    <row r="230" spans="3:16" s="159" customFormat="1" x14ac:dyDescent="0.2">
      <c r="C230" s="657"/>
      <c r="D230" s="657"/>
      <c r="M230" s="276"/>
      <c r="O230" s="496"/>
      <c r="P230" s="496"/>
    </row>
    <row r="231" spans="3:16" s="159" customFormat="1" x14ac:dyDescent="0.2">
      <c r="C231" s="657"/>
      <c r="D231" s="657"/>
      <c r="M231" s="276"/>
      <c r="O231" s="496"/>
      <c r="P231" s="496"/>
    </row>
    <row r="232" spans="3:16" s="159" customFormat="1" x14ac:dyDescent="0.2">
      <c r="C232" s="657"/>
      <c r="D232" s="657"/>
      <c r="M232" s="276"/>
      <c r="O232" s="496"/>
      <c r="P232" s="496"/>
    </row>
    <row r="233" spans="3:16" s="159" customFormat="1" x14ac:dyDescent="0.2">
      <c r="C233" s="657"/>
      <c r="D233" s="657"/>
      <c r="M233" s="276"/>
      <c r="O233" s="496"/>
      <c r="P233" s="496"/>
    </row>
    <row r="234" spans="3:16" s="159" customFormat="1" x14ac:dyDescent="0.2">
      <c r="C234" s="657"/>
      <c r="D234" s="657"/>
      <c r="M234" s="276"/>
      <c r="O234" s="496"/>
      <c r="P234" s="496"/>
    </row>
    <row r="235" spans="3:16" s="159" customFormat="1" x14ac:dyDescent="0.2">
      <c r="C235" s="657"/>
      <c r="D235" s="657"/>
      <c r="M235" s="276"/>
      <c r="O235" s="496"/>
      <c r="P235" s="496"/>
    </row>
    <row r="236" spans="3:16" s="159" customFormat="1" x14ac:dyDescent="0.2">
      <c r="C236" s="657"/>
      <c r="D236" s="657"/>
      <c r="M236" s="276"/>
      <c r="O236" s="496"/>
      <c r="P236" s="496"/>
    </row>
    <row r="237" spans="3:16" s="159" customFormat="1" x14ac:dyDescent="0.2">
      <c r="C237" s="657"/>
      <c r="D237" s="657"/>
      <c r="M237" s="276"/>
      <c r="O237" s="496"/>
      <c r="P237" s="496"/>
    </row>
    <row r="238" spans="3:16" s="159" customFormat="1" x14ac:dyDescent="0.2">
      <c r="C238" s="657"/>
      <c r="D238" s="657"/>
      <c r="M238" s="276"/>
      <c r="O238" s="496"/>
      <c r="P238" s="496"/>
    </row>
    <row r="239" spans="3:16" s="159" customFormat="1" x14ac:dyDescent="0.2">
      <c r="C239" s="657"/>
      <c r="D239" s="657"/>
      <c r="M239" s="276"/>
      <c r="O239" s="496"/>
      <c r="P239" s="496"/>
    </row>
    <row r="240" spans="3:16" s="159" customFormat="1" x14ac:dyDescent="0.2">
      <c r="C240" s="657"/>
      <c r="D240" s="657"/>
      <c r="M240" s="276"/>
      <c r="O240" s="496"/>
      <c r="P240" s="496"/>
    </row>
    <row r="241" spans="3:16" s="159" customFormat="1" x14ac:dyDescent="0.2">
      <c r="C241" s="657"/>
      <c r="D241" s="657"/>
      <c r="M241" s="276"/>
      <c r="O241" s="496"/>
      <c r="P241" s="496"/>
    </row>
    <row r="242" spans="3:16" s="159" customFormat="1" x14ac:dyDescent="0.2">
      <c r="C242" s="657"/>
      <c r="D242" s="657"/>
      <c r="M242" s="276"/>
      <c r="O242" s="496"/>
      <c r="P242" s="496"/>
    </row>
  </sheetData>
  <mergeCells count="48">
    <mergeCell ref="C1:K1"/>
    <mergeCell ref="D2:F2"/>
    <mergeCell ref="A3:B3"/>
    <mergeCell ref="D3:F3"/>
    <mergeCell ref="A4:B4"/>
    <mergeCell ref="D4:F4"/>
    <mergeCell ref="L3:M3"/>
    <mergeCell ref="N3:P3"/>
    <mergeCell ref="L4:M4"/>
    <mergeCell ref="N4:P4"/>
    <mergeCell ref="L5:M5"/>
    <mergeCell ref="N5:P5"/>
    <mergeCell ref="B64:B65"/>
    <mergeCell ref="G63:G64"/>
    <mergeCell ref="I63:I64"/>
    <mergeCell ref="L6:M6"/>
    <mergeCell ref="N6:P6"/>
    <mergeCell ref="G8:I8"/>
    <mergeCell ref="C8:F8"/>
    <mergeCell ref="G5:I6"/>
    <mergeCell ref="J5:K5"/>
    <mergeCell ref="A7:K7"/>
    <mergeCell ref="C48:F48"/>
    <mergeCell ref="G48:I48"/>
    <mergeCell ref="C54:F54"/>
    <mergeCell ref="G54:I54"/>
    <mergeCell ref="C9:F9"/>
    <mergeCell ref="G9:I9"/>
    <mergeCell ref="C19:F19"/>
    <mergeCell ref="G19:I19"/>
    <mergeCell ref="C27:F27"/>
    <mergeCell ref="G27:I27"/>
    <mergeCell ref="C33:F33"/>
    <mergeCell ref="G33:I33"/>
    <mergeCell ref="K63:K64"/>
    <mergeCell ref="F65:F66"/>
    <mergeCell ref="G65:G66"/>
    <mergeCell ref="I65:I66"/>
    <mergeCell ref="J65:J66"/>
    <mergeCell ref="K65:K66"/>
    <mergeCell ref="F63:F64"/>
    <mergeCell ref="J63:J64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6" fitToHeight="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pageSetUpPr fitToPage="1"/>
  </sheetPr>
  <dimension ref="A1:Q76"/>
  <sheetViews>
    <sheetView topLeftCell="A20" zoomScale="92" zoomScaleNormal="75" zoomScaleSheetLayoutView="90" zoomScalePageLayoutView="75" workbookViewId="0">
      <selection activeCell="M31" sqref="M31"/>
    </sheetView>
  </sheetViews>
  <sheetFormatPr defaultColWidth="9.140625" defaultRowHeight="12.75" x14ac:dyDescent="0.2"/>
  <cols>
    <col min="1" max="1" width="12.5703125" style="157" bestFit="1" customWidth="1"/>
    <col min="2" max="2" width="47" style="157" bestFit="1" customWidth="1"/>
    <col min="3" max="3" width="5" style="442" customWidth="1"/>
    <col min="4" max="4" width="5" style="661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140625" style="157" bestFit="1" customWidth="1"/>
    <col min="10" max="10" width="16.140625" style="157" bestFit="1" customWidth="1"/>
    <col min="11" max="11" width="14.140625" style="157" bestFit="1" customWidth="1"/>
    <col min="12" max="12" width="17.85546875" style="159" bestFit="1" customWidth="1"/>
    <col min="13" max="13" width="14" style="316" bestFit="1" customWidth="1"/>
    <col min="14" max="14" width="24.85546875" style="157" bestFit="1" customWidth="1"/>
    <col min="15" max="15" width="21.85546875" style="304" bestFit="1" customWidth="1"/>
    <col min="16" max="16" width="22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611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3">
      <c r="A4" s="982"/>
      <c r="B4" s="983"/>
      <c r="C4" s="516"/>
      <c r="D4" s="993"/>
      <c r="E4" s="993"/>
      <c r="F4" s="993"/>
      <c r="G4" s="612"/>
      <c r="H4" s="612"/>
      <c r="I4" s="611"/>
      <c r="J4" s="331"/>
      <c r="K4" s="332"/>
      <c r="L4" s="1011"/>
      <c r="M4" s="1012"/>
      <c r="N4" s="994"/>
      <c r="O4" s="994"/>
      <c r="P4" s="946"/>
    </row>
    <row r="5" spans="1:17" ht="21" thickBot="1" x14ac:dyDescent="0.35">
      <c r="A5" s="613"/>
      <c r="B5" s="614"/>
      <c r="C5" s="518"/>
      <c r="D5" s="615"/>
      <c r="E5" s="343"/>
      <c r="F5" s="612"/>
      <c r="G5" s="1090" t="s">
        <v>661</v>
      </c>
      <c r="H5" s="1090"/>
      <c r="I5" s="1090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35">
      <c r="A6" s="613"/>
      <c r="B6" s="614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1090"/>
      <c r="H6" s="1090"/>
      <c r="I6" s="1090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616" t="s">
        <v>0</v>
      </c>
      <c r="B9" s="617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618"/>
      <c r="K9" s="525"/>
      <c r="L9" s="1055" t="s">
        <v>780</v>
      </c>
      <c r="M9" s="1057" t="s">
        <v>781</v>
      </c>
      <c r="N9" s="1059" t="s">
        <v>782</v>
      </c>
      <c r="O9" s="1061"/>
      <c r="P9" s="1063"/>
      <c r="Q9" s="1053"/>
    </row>
    <row r="10" spans="1:17" ht="15.75" x14ac:dyDescent="0.25">
      <c r="A10" s="527" t="s">
        <v>299</v>
      </c>
      <c r="B10" s="527" t="s">
        <v>300</v>
      </c>
      <c r="C10" s="662" t="s">
        <v>19</v>
      </c>
      <c r="D10" s="619" t="s">
        <v>33</v>
      </c>
      <c r="E10" s="447" t="s">
        <v>35</v>
      </c>
      <c r="F10" s="620" t="s">
        <v>30</v>
      </c>
      <c r="G10" s="621" t="s">
        <v>14</v>
      </c>
      <c r="H10" s="447" t="s">
        <v>35</v>
      </c>
      <c r="I10" s="620" t="s">
        <v>30</v>
      </c>
      <c r="J10" s="622" t="s">
        <v>659</v>
      </c>
      <c r="K10" s="623" t="s">
        <v>38</v>
      </c>
      <c r="L10" s="1056"/>
      <c r="M10" s="1058"/>
      <c r="N10" s="1060"/>
      <c r="O10" s="1062"/>
      <c r="P10" s="1064"/>
      <c r="Q10" s="1054"/>
    </row>
    <row r="11" spans="1:17" x14ac:dyDescent="0.2">
      <c r="A11" s="372"/>
      <c r="B11" s="5"/>
      <c r="C11" s="373"/>
      <c r="D11" s="374" t="s">
        <v>21</v>
      </c>
      <c r="E11" s="255">
        <v>0</v>
      </c>
      <c r="F11" s="375">
        <f>C11*E11</f>
        <v>0</v>
      </c>
      <c r="G11" s="531"/>
      <c r="H11" s="377">
        <v>0</v>
      </c>
      <c r="I11" s="375">
        <f>G11*H11</f>
        <v>0</v>
      </c>
      <c r="J11" s="624"/>
      <c r="K11" s="532">
        <f>F11+I11+J11</f>
        <v>0</v>
      </c>
      <c r="L11" s="380"/>
      <c r="M11" s="625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>C12*E12</f>
        <v>0</v>
      </c>
      <c r="G12" s="531"/>
      <c r="H12" s="377">
        <v>0</v>
      </c>
      <c r="I12" s="375">
        <f>G12*H12</f>
        <v>0</v>
      </c>
      <c r="J12" s="624"/>
      <c r="K12" s="532">
        <f>F12+I12+J12</f>
        <v>0</v>
      </c>
      <c r="L12" s="380"/>
      <c r="M12" s="625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>C13*E13</f>
        <v>0</v>
      </c>
      <c r="G13" s="531"/>
      <c r="H13" s="377">
        <v>0</v>
      </c>
      <c r="I13" s="375">
        <f>G13*H13</f>
        <v>0</v>
      </c>
      <c r="J13" s="624"/>
      <c r="K13" s="532">
        <f>F13+I13+J13</f>
        <v>0</v>
      </c>
      <c r="L13" s="380"/>
      <c r="M13" s="625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>C14*E14</f>
        <v>0</v>
      </c>
      <c r="G14" s="531"/>
      <c r="H14" s="377">
        <v>0</v>
      </c>
      <c r="I14" s="375">
        <f>G14*H14</f>
        <v>0</v>
      </c>
      <c r="J14" s="624"/>
      <c r="K14" s="532">
        <f>F14+I14+J14</f>
        <v>0</v>
      </c>
      <c r="L14" s="380"/>
      <c r="M14" s="625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>C15*E15</f>
        <v>0</v>
      </c>
      <c r="G15" s="531"/>
      <c r="H15" s="377">
        <v>0</v>
      </c>
      <c r="I15" s="375">
        <f>G15*H15</f>
        <v>0</v>
      </c>
      <c r="J15" s="624"/>
      <c r="K15" s="532">
        <f>F15+I15+J15</f>
        <v>0</v>
      </c>
      <c r="L15" s="380"/>
      <c r="M15" s="625"/>
      <c r="N15" s="382"/>
      <c r="O15" s="383"/>
      <c r="P15" s="384"/>
      <c r="Q15" s="385"/>
    </row>
    <row r="16" spans="1:17" ht="13.5" thickBot="1" x14ac:dyDescent="0.25">
      <c r="A16" s="389"/>
      <c r="B16" s="7"/>
      <c r="C16" s="390"/>
      <c r="D16" s="374"/>
      <c r="E16" s="255"/>
      <c r="F16" s="375"/>
      <c r="G16" s="531"/>
      <c r="H16" s="377"/>
      <c r="I16" s="375"/>
      <c r="J16" s="624"/>
      <c r="K16" s="532"/>
      <c r="L16" s="380"/>
      <c r="M16" s="625"/>
      <c r="N16" s="382"/>
      <c r="O16" s="383"/>
      <c r="P16" s="384"/>
      <c r="Q16" s="385"/>
    </row>
    <row r="17" spans="1:17" ht="13.5" thickTop="1" x14ac:dyDescent="0.2">
      <c r="A17" s="389"/>
      <c r="B17" s="7"/>
      <c r="C17" s="390"/>
      <c r="D17" s="374"/>
      <c r="E17" s="255"/>
      <c r="F17" s="375"/>
      <c r="G17" s="531"/>
      <c r="H17" s="377"/>
      <c r="I17" s="375"/>
      <c r="J17" s="391" t="s">
        <v>30</v>
      </c>
      <c r="K17" s="534">
        <f>SUM(K11:K16)</f>
        <v>0</v>
      </c>
      <c r="L17" s="380"/>
      <c r="M17" s="625"/>
      <c r="N17" s="382"/>
      <c r="O17" s="383"/>
      <c r="P17" s="384"/>
      <c r="Q17" s="385"/>
    </row>
    <row r="18" spans="1:17" ht="13.5" thickBot="1" x14ac:dyDescent="0.25">
      <c r="A18" s="616" t="s">
        <v>0</v>
      </c>
      <c r="B18" s="617" t="s">
        <v>1</v>
      </c>
      <c r="C18" s="948" t="s">
        <v>656</v>
      </c>
      <c r="D18" s="948"/>
      <c r="E18" s="948"/>
      <c r="F18" s="948"/>
      <c r="G18" s="948" t="s">
        <v>34</v>
      </c>
      <c r="H18" s="948"/>
      <c r="I18" s="948"/>
      <c r="J18" s="618"/>
      <c r="K18" s="525"/>
      <c r="L18" s="393"/>
      <c r="M18" s="626"/>
      <c r="N18" s="395"/>
      <c r="O18" s="383"/>
      <c r="P18" s="384"/>
      <c r="Q18" s="385"/>
    </row>
    <row r="19" spans="1:17" ht="16.5" thickBot="1" x14ac:dyDescent="0.3">
      <c r="A19" s="527" t="s">
        <v>301</v>
      </c>
      <c r="B19" s="527" t="s">
        <v>302</v>
      </c>
      <c r="C19" s="640" t="s">
        <v>19</v>
      </c>
      <c r="D19" s="627" t="s">
        <v>33</v>
      </c>
      <c r="E19" s="628" t="s">
        <v>35</v>
      </c>
      <c r="F19" s="629" t="s">
        <v>30</v>
      </c>
      <c r="G19" s="630" t="s">
        <v>14</v>
      </c>
      <c r="H19" s="628" t="s">
        <v>35</v>
      </c>
      <c r="I19" s="629" t="s">
        <v>30</v>
      </c>
      <c r="J19" s="622" t="s">
        <v>659</v>
      </c>
      <c r="K19" s="631" t="s">
        <v>38</v>
      </c>
      <c r="L19" s="404"/>
      <c r="M19" s="632"/>
      <c r="N19" s="406"/>
      <c r="O19" s="383"/>
      <c r="P19" s="384"/>
      <c r="Q19" s="385"/>
    </row>
    <row r="20" spans="1:17" x14ac:dyDescent="0.2">
      <c r="A20" s="407"/>
      <c r="B20" s="408"/>
      <c r="C20" s="373"/>
      <c r="D20" s="374" t="s">
        <v>21</v>
      </c>
      <c r="E20" s="255">
        <v>0</v>
      </c>
      <c r="F20" s="375">
        <f>C20*E20</f>
        <v>0</v>
      </c>
      <c r="G20" s="531"/>
      <c r="H20" s="377">
        <v>0</v>
      </c>
      <c r="I20" s="375">
        <f>G20*H20</f>
        <v>0</v>
      </c>
      <c r="J20" s="624"/>
      <c r="K20" s="532">
        <f>F20+I20+J20</f>
        <v>0</v>
      </c>
      <c r="L20" s="380"/>
      <c r="M20" s="625"/>
      <c r="N20" s="382"/>
      <c r="O20" s="383"/>
      <c r="P20" s="384"/>
      <c r="Q20" s="385"/>
    </row>
    <row r="21" spans="1:17" x14ac:dyDescent="0.2">
      <c r="A21" s="372"/>
      <c r="B21" s="5"/>
      <c r="C21" s="373"/>
      <c r="D21" s="374" t="s">
        <v>21</v>
      </c>
      <c r="E21" s="255">
        <v>0</v>
      </c>
      <c r="F21" s="375">
        <f>C21*E21</f>
        <v>0</v>
      </c>
      <c r="G21" s="531"/>
      <c r="H21" s="377">
        <v>0</v>
      </c>
      <c r="I21" s="375">
        <f>G21*H21</f>
        <v>0</v>
      </c>
      <c r="J21" s="624"/>
      <c r="K21" s="532">
        <f>F21+I21+J21</f>
        <v>0</v>
      </c>
      <c r="L21" s="380"/>
      <c r="M21" s="625"/>
      <c r="N21" s="382"/>
      <c r="O21" s="383"/>
      <c r="P21" s="384"/>
      <c r="Q21" s="385"/>
    </row>
    <row r="22" spans="1:17" x14ac:dyDescent="0.2">
      <c r="A22" s="372"/>
      <c r="B22" s="5"/>
      <c r="C22" s="373"/>
      <c r="D22" s="374" t="s">
        <v>21</v>
      </c>
      <c r="E22" s="255">
        <v>0</v>
      </c>
      <c r="F22" s="375">
        <f>C22*E22</f>
        <v>0</v>
      </c>
      <c r="G22" s="531"/>
      <c r="H22" s="377">
        <v>0</v>
      </c>
      <c r="I22" s="375">
        <f>G22*H22</f>
        <v>0</v>
      </c>
      <c r="J22" s="624"/>
      <c r="K22" s="532">
        <f>F22+I22+J22</f>
        <v>0</v>
      </c>
      <c r="L22" s="380"/>
      <c r="M22" s="625"/>
      <c r="N22" s="382"/>
      <c r="O22" s="383"/>
      <c r="P22" s="384"/>
      <c r="Q22" s="385"/>
    </row>
    <row r="23" spans="1:17" x14ac:dyDescent="0.2">
      <c r="A23" s="372"/>
      <c r="B23" s="5"/>
      <c r="C23" s="373"/>
      <c r="D23" s="374" t="s">
        <v>21</v>
      </c>
      <c r="E23" s="255">
        <v>0</v>
      </c>
      <c r="F23" s="375">
        <f>C23*E23</f>
        <v>0</v>
      </c>
      <c r="G23" s="531"/>
      <c r="H23" s="377">
        <v>0</v>
      </c>
      <c r="I23" s="375">
        <f>G23*H23</f>
        <v>0</v>
      </c>
      <c r="J23" s="624"/>
      <c r="K23" s="532">
        <f>F23+I23+J23</f>
        <v>0</v>
      </c>
      <c r="L23" s="380"/>
      <c r="M23" s="625"/>
      <c r="N23" s="382"/>
      <c r="O23" s="383"/>
      <c r="P23" s="384"/>
      <c r="Q23" s="385"/>
    </row>
    <row r="24" spans="1:17" ht="13.5" thickBot="1" x14ac:dyDescent="0.25">
      <c r="A24" s="372"/>
      <c r="B24" s="5"/>
      <c r="C24" s="390"/>
      <c r="D24" s="374"/>
      <c r="E24" s="255"/>
      <c r="F24" s="375"/>
      <c r="G24" s="531"/>
      <c r="H24" s="377"/>
      <c r="I24" s="375"/>
      <c r="J24" s="624"/>
      <c r="K24" s="537"/>
      <c r="L24" s="157"/>
      <c r="M24" s="633"/>
      <c r="O24" s="383"/>
      <c r="P24" s="384"/>
      <c r="Q24" s="385"/>
    </row>
    <row r="25" spans="1:17" ht="13.5" thickTop="1" x14ac:dyDescent="0.2">
      <c r="A25" s="389"/>
      <c r="B25" s="5"/>
      <c r="C25" s="390"/>
      <c r="D25" s="374"/>
      <c r="E25" s="255"/>
      <c r="F25" s="375"/>
      <c r="G25" s="531"/>
      <c r="H25" s="377"/>
      <c r="I25" s="375"/>
      <c r="J25" s="391" t="s">
        <v>30</v>
      </c>
      <c r="K25" s="534">
        <f>SUM(K20:K24)</f>
        <v>0</v>
      </c>
      <c r="L25" s="157"/>
      <c r="M25" s="633"/>
      <c r="O25" s="383"/>
      <c r="P25" s="384"/>
      <c r="Q25" s="385"/>
    </row>
    <row r="26" spans="1:17" ht="13.5" thickBot="1" x14ac:dyDescent="0.25">
      <c r="A26" s="616" t="s">
        <v>0</v>
      </c>
      <c r="B26" s="617" t="s">
        <v>1</v>
      </c>
      <c r="C26" s="948" t="s">
        <v>656</v>
      </c>
      <c r="D26" s="948"/>
      <c r="E26" s="948"/>
      <c r="F26" s="948"/>
      <c r="G26" s="948" t="s">
        <v>34</v>
      </c>
      <c r="H26" s="948"/>
      <c r="I26" s="948"/>
      <c r="J26" s="618"/>
      <c r="K26" s="525"/>
      <c r="L26" s="393"/>
      <c r="M26" s="626"/>
      <c r="N26" s="395"/>
      <c r="O26" s="383"/>
      <c r="P26" s="384"/>
      <c r="Q26" s="385"/>
    </row>
    <row r="27" spans="1:17" ht="16.5" thickBot="1" x14ac:dyDescent="0.3">
      <c r="A27" s="527" t="s">
        <v>303</v>
      </c>
      <c r="B27" s="527" t="s">
        <v>304</v>
      </c>
      <c r="C27" s="640" t="s">
        <v>19</v>
      </c>
      <c r="D27" s="627" t="s">
        <v>33</v>
      </c>
      <c r="E27" s="628" t="s">
        <v>35</v>
      </c>
      <c r="F27" s="629" t="s">
        <v>30</v>
      </c>
      <c r="G27" s="630" t="s">
        <v>14</v>
      </c>
      <c r="H27" s="628" t="s">
        <v>35</v>
      </c>
      <c r="I27" s="629" t="s">
        <v>30</v>
      </c>
      <c r="J27" s="622" t="s">
        <v>659</v>
      </c>
      <c r="K27" s="631" t="s">
        <v>38</v>
      </c>
      <c r="L27" s="404"/>
      <c r="M27" s="632"/>
      <c r="N27" s="406"/>
      <c r="O27" s="383"/>
      <c r="P27" s="384"/>
      <c r="Q27" s="385"/>
    </row>
    <row r="28" spans="1:17" ht="25.5" x14ac:dyDescent="0.2">
      <c r="A28" s="854" t="s">
        <v>305</v>
      </c>
      <c r="B28" s="855" t="s">
        <v>1128</v>
      </c>
      <c r="C28" s="839">
        <f>6/3</f>
        <v>2</v>
      </c>
      <c r="D28" s="840" t="s">
        <v>910</v>
      </c>
      <c r="E28" s="841">
        <v>1159</v>
      </c>
      <c r="F28" s="842">
        <v>0</v>
      </c>
      <c r="G28" s="849">
        <v>26</v>
      </c>
      <c r="H28" s="844">
        <v>65</v>
      </c>
      <c r="I28" s="842">
        <f t="shared" ref="I28:I33" si="0">G28*H28</f>
        <v>1690</v>
      </c>
      <c r="J28" s="852">
        <f>M30</f>
        <v>10000</v>
      </c>
      <c r="K28" s="850">
        <f t="shared" ref="K28:K34" si="1">F28+I28+J28</f>
        <v>11690</v>
      </c>
      <c r="L28" s="159" t="s">
        <v>1104</v>
      </c>
      <c r="M28" s="316">
        <v>5500</v>
      </c>
      <c r="N28" s="890" t="s">
        <v>1134</v>
      </c>
      <c r="O28" s="383"/>
      <c r="P28" s="384"/>
      <c r="Q28" s="385"/>
    </row>
    <row r="29" spans="1:17" x14ac:dyDescent="0.2">
      <c r="A29" s="158" t="s">
        <v>306</v>
      </c>
      <c r="B29" s="653" t="s">
        <v>1126</v>
      </c>
      <c r="C29" s="373"/>
      <c r="D29" s="374" t="s">
        <v>21</v>
      </c>
      <c r="E29" s="255">
        <v>0</v>
      </c>
      <c r="F29" s="375">
        <f t="shared" ref="F29:F33" si="2">C29*E29</f>
        <v>0</v>
      </c>
      <c r="G29" s="531"/>
      <c r="H29" s="377">
        <v>0</v>
      </c>
      <c r="I29" s="375">
        <f t="shared" si="0"/>
        <v>0</v>
      </c>
      <c r="J29" s="624"/>
      <c r="K29" s="532">
        <f t="shared" si="1"/>
        <v>0</v>
      </c>
      <c r="L29" s="380" t="s">
        <v>1095</v>
      </c>
      <c r="M29" s="625">
        <v>9300</v>
      </c>
      <c r="N29" s="382"/>
      <c r="O29" s="383"/>
      <c r="P29" s="384"/>
      <c r="Q29" s="385"/>
    </row>
    <row r="30" spans="1:17" ht="15" x14ac:dyDescent="0.2">
      <c r="A30" s="196" t="s">
        <v>307</v>
      </c>
      <c r="B30" s="649" t="s">
        <v>1127</v>
      </c>
      <c r="C30" s="373"/>
      <c r="D30" s="374" t="s">
        <v>21</v>
      </c>
      <c r="E30" s="255">
        <v>0</v>
      </c>
      <c r="F30" s="375">
        <f t="shared" si="2"/>
        <v>0</v>
      </c>
      <c r="G30" s="531"/>
      <c r="H30" s="377">
        <v>0</v>
      </c>
      <c r="I30" s="375">
        <f t="shared" si="0"/>
        <v>0</v>
      </c>
      <c r="J30" s="624"/>
      <c r="K30" s="532">
        <f t="shared" si="1"/>
        <v>0</v>
      </c>
      <c r="L30" s="380" t="s">
        <v>1096</v>
      </c>
      <c r="M30" s="625">
        <v>10000</v>
      </c>
      <c r="N30" s="382"/>
      <c r="O30" s="383"/>
      <c r="P30" s="384"/>
      <c r="Q30" s="385"/>
    </row>
    <row r="31" spans="1:17" x14ac:dyDescent="0.2">
      <c r="A31" s="158" t="s">
        <v>308</v>
      </c>
      <c r="B31" s="653" t="s">
        <v>1129</v>
      </c>
      <c r="C31" s="373"/>
      <c r="D31" s="374" t="s">
        <v>21</v>
      </c>
      <c r="E31" s="255">
        <v>0</v>
      </c>
      <c r="F31" s="375">
        <f t="shared" si="2"/>
        <v>0</v>
      </c>
      <c r="G31" s="531"/>
      <c r="H31" s="377">
        <v>0</v>
      </c>
      <c r="I31" s="375">
        <f t="shared" si="0"/>
        <v>0</v>
      </c>
      <c r="J31" s="624"/>
      <c r="K31" s="532">
        <f t="shared" si="1"/>
        <v>0</v>
      </c>
      <c r="L31" s="380"/>
      <c r="M31" s="625"/>
      <c r="N31" s="382"/>
      <c r="O31" s="383"/>
      <c r="P31" s="384"/>
      <c r="Q31" s="385"/>
    </row>
    <row r="32" spans="1:17" x14ac:dyDescent="0.2">
      <c r="A32" s="158" t="s">
        <v>309</v>
      </c>
      <c r="B32" s="653" t="s">
        <v>1130</v>
      </c>
      <c r="C32" s="373"/>
      <c r="D32" s="374" t="s">
        <v>21</v>
      </c>
      <c r="E32" s="255">
        <v>0</v>
      </c>
      <c r="F32" s="375">
        <f t="shared" si="2"/>
        <v>0</v>
      </c>
      <c r="G32" s="531"/>
      <c r="H32" s="377">
        <v>0</v>
      </c>
      <c r="I32" s="375">
        <f t="shared" si="0"/>
        <v>0</v>
      </c>
      <c r="J32" s="624"/>
      <c r="K32" s="532">
        <f t="shared" si="1"/>
        <v>0</v>
      </c>
      <c r="L32" s="380"/>
      <c r="M32" s="625"/>
      <c r="N32" s="382"/>
      <c r="O32" s="383"/>
      <c r="P32" s="384"/>
      <c r="Q32" s="385"/>
    </row>
    <row r="33" spans="1:17" x14ac:dyDescent="0.2">
      <c r="A33" s="158" t="s">
        <v>310</v>
      </c>
      <c r="B33" s="653" t="s">
        <v>1131</v>
      </c>
      <c r="C33" s="373"/>
      <c r="D33" s="374" t="s">
        <v>21</v>
      </c>
      <c r="E33" s="255">
        <v>0</v>
      </c>
      <c r="F33" s="375">
        <f t="shared" si="2"/>
        <v>0</v>
      </c>
      <c r="G33" s="531"/>
      <c r="H33" s="377">
        <v>0</v>
      </c>
      <c r="I33" s="375">
        <f t="shared" si="0"/>
        <v>0</v>
      </c>
      <c r="J33" s="624"/>
      <c r="K33" s="532">
        <f t="shared" si="1"/>
        <v>0</v>
      </c>
      <c r="O33" s="383"/>
      <c r="P33" s="384"/>
      <c r="Q33" s="385"/>
    </row>
    <row r="34" spans="1:17" ht="15" x14ac:dyDescent="0.2">
      <c r="A34" s="865" t="s">
        <v>311</v>
      </c>
      <c r="B34" s="861" t="s">
        <v>1132</v>
      </c>
      <c r="C34" s="839">
        <v>2</v>
      </c>
      <c r="D34" s="840" t="s">
        <v>21</v>
      </c>
      <c r="E34" s="841">
        <f>M34/3</f>
        <v>1833.3333333333333</v>
      </c>
      <c r="F34" s="842">
        <v>0</v>
      </c>
      <c r="G34" s="849">
        <v>20</v>
      </c>
      <c r="H34" s="844">
        <v>65</v>
      </c>
      <c r="I34" s="842">
        <v>0</v>
      </c>
      <c r="J34" s="852"/>
      <c r="K34" s="850">
        <f t="shared" si="1"/>
        <v>0</v>
      </c>
      <c r="L34" s="380" t="s">
        <v>1029</v>
      </c>
      <c r="M34" s="316">
        <v>5500</v>
      </c>
      <c r="N34" s="157" t="s">
        <v>1031</v>
      </c>
      <c r="O34" s="383"/>
      <c r="P34" s="384"/>
      <c r="Q34" s="385"/>
    </row>
    <row r="35" spans="1:17" x14ac:dyDescent="0.2">
      <c r="A35" s="372"/>
      <c r="B35" s="5"/>
      <c r="C35" s="373"/>
      <c r="D35" s="374"/>
      <c r="E35" s="255"/>
      <c r="F35" s="375"/>
      <c r="G35" s="531"/>
      <c r="H35" s="377"/>
      <c r="I35" s="375"/>
      <c r="J35" s="624"/>
      <c r="K35" s="537"/>
      <c r="L35" s="380"/>
      <c r="M35" s="625"/>
      <c r="N35" s="382"/>
      <c r="O35" s="383"/>
      <c r="P35" s="384"/>
      <c r="Q35" s="385"/>
    </row>
    <row r="36" spans="1:17" x14ac:dyDescent="0.2">
      <c r="A36" s="372"/>
      <c r="B36" s="5"/>
      <c r="C36" s="373"/>
      <c r="D36" s="374"/>
      <c r="E36" s="255"/>
      <c r="F36" s="375"/>
      <c r="G36" s="531"/>
      <c r="H36" s="377"/>
      <c r="I36" s="375"/>
      <c r="J36" s="624"/>
      <c r="K36" s="537"/>
      <c r="M36" s="276"/>
      <c r="N36" s="159"/>
      <c r="O36" s="383"/>
      <c r="P36" s="384"/>
      <c r="Q36" s="385"/>
    </row>
    <row r="37" spans="1:17" ht="13.5" thickBot="1" x14ac:dyDescent="0.25">
      <c r="A37" s="372"/>
      <c r="B37" s="5"/>
      <c r="C37" s="373"/>
      <c r="D37" s="374"/>
      <c r="E37" s="255"/>
      <c r="F37" s="375"/>
      <c r="G37" s="531"/>
      <c r="H37" s="377"/>
      <c r="I37" s="375"/>
      <c r="J37" s="624"/>
      <c r="K37" s="537"/>
      <c r="M37" s="276"/>
      <c r="N37" s="159"/>
      <c r="O37" s="412"/>
      <c r="P37" s="413"/>
      <c r="Q37" s="385"/>
    </row>
    <row r="38" spans="1:17" ht="13.5" thickTop="1" x14ac:dyDescent="0.2">
      <c r="A38" s="389"/>
      <c r="B38" s="414"/>
      <c r="C38" s="390"/>
      <c r="D38" s="374"/>
      <c r="E38" s="255"/>
      <c r="F38" s="375"/>
      <c r="G38" s="531"/>
      <c r="H38" s="377"/>
      <c r="I38" s="375"/>
      <c r="J38" s="391" t="s">
        <v>30</v>
      </c>
      <c r="K38" s="534">
        <f>SUM(K28:K37)</f>
        <v>11690</v>
      </c>
      <c r="L38" s="380"/>
      <c r="M38" s="303"/>
      <c r="N38" s="423"/>
      <c r="O38" s="412"/>
      <c r="P38" s="413"/>
      <c r="Q38" s="385"/>
    </row>
    <row r="39" spans="1:17" ht="13.5" thickBot="1" x14ac:dyDescent="0.25">
      <c r="A39" s="616" t="s">
        <v>0</v>
      </c>
      <c r="B39" s="617" t="s">
        <v>1</v>
      </c>
      <c r="C39" s="948" t="s">
        <v>656</v>
      </c>
      <c r="D39" s="948"/>
      <c r="E39" s="948"/>
      <c r="F39" s="948"/>
      <c r="G39" s="948" t="s">
        <v>34</v>
      </c>
      <c r="H39" s="948"/>
      <c r="I39" s="948"/>
      <c r="J39" s="618"/>
      <c r="K39" s="525"/>
      <c r="L39" s="393"/>
      <c r="M39" s="626"/>
      <c r="N39" s="395"/>
      <c r="O39" s="412"/>
      <c r="P39" s="413"/>
      <c r="Q39" s="385"/>
    </row>
    <row r="40" spans="1:17" ht="15.75" x14ac:dyDescent="0.25">
      <c r="A40" s="527" t="s">
        <v>312</v>
      </c>
      <c r="B40" s="527" t="s">
        <v>313</v>
      </c>
      <c r="C40" s="640" t="s">
        <v>19</v>
      </c>
      <c r="D40" s="627" t="s">
        <v>33</v>
      </c>
      <c r="E40" s="628" t="s">
        <v>35</v>
      </c>
      <c r="F40" s="629" t="s">
        <v>30</v>
      </c>
      <c r="G40" s="630" t="s">
        <v>14</v>
      </c>
      <c r="H40" s="628" t="s">
        <v>35</v>
      </c>
      <c r="I40" s="629" t="s">
        <v>30</v>
      </c>
      <c r="J40" s="622" t="s">
        <v>659</v>
      </c>
      <c r="K40" s="631" t="s">
        <v>38</v>
      </c>
      <c r="L40" s="404"/>
      <c r="M40" s="632"/>
      <c r="N40" s="406"/>
      <c r="O40" s="412"/>
      <c r="P40" s="413"/>
      <c r="Q40" s="385"/>
    </row>
    <row r="41" spans="1:17" x14ac:dyDescent="0.2">
      <c r="A41" s="258" t="s">
        <v>314</v>
      </c>
      <c r="B41" s="258" t="s">
        <v>44</v>
      </c>
      <c r="C41" s="373"/>
      <c r="D41" s="374" t="s">
        <v>21</v>
      </c>
      <c r="E41" s="255">
        <v>0</v>
      </c>
      <c r="F41" s="375">
        <f>C41*E41</f>
        <v>0</v>
      </c>
      <c r="G41" s="531"/>
      <c r="H41" s="377">
        <v>0</v>
      </c>
      <c r="I41" s="375">
        <f>G41*H41</f>
        <v>0</v>
      </c>
      <c r="J41" s="624"/>
      <c r="K41" s="532">
        <f>F41+I41+J41</f>
        <v>0</v>
      </c>
      <c r="L41" s="380"/>
      <c r="M41" s="303"/>
      <c r="N41" s="423"/>
      <c r="O41" s="412"/>
      <c r="P41" s="413"/>
      <c r="Q41" s="385"/>
    </row>
    <row r="42" spans="1:17" x14ac:dyDescent="0.2">
      <c r="A42" s="372"/>
      <c r="B42" s="5"/>
      <c r="C42" s="373"/>
      <c r="D42" s="374" t="s">
        <v>21</v>
      </c>
      <c r="E42" s="255">
        <v>0</v>
      </c>
      <c r="F42" s="375">
        <f>C42*E42</f>
        <v>0</v>
      </c>
      <c r="G42" s="531"/>
      <c r="H42" s="377">
        <v>0</v>
      </c>
      <c r="I42" s="375">
        <f>G42*H42</f>
        <v>0</v>
      </c>
      <c r="J42" s="624"/>
      <c r="K42" s="532">
        <f>F42+I42+J42</f>
        <v>0</v>
      </c>
      <c r="L42" s="380"/>
      <c r="M42" s="303"/>
      <c r="N42" s="423"/>
      <c r="O42" s="412"/>
      <c r="P42" s="413"/>
      <c r="Q42" s="385"/>
    </row>
    <row r="43" spans="1:17" ht="13.5" thickBot="1" x14ac:dyDescent="0.25">
      <c r="A43" s="389"/>
      <c r="B43" s="5"/>
      <c r="C43" s="390"/>
      <c r="D43" s="374"/>
      <c r="E43" s="255"/>
      <c r="F43" s="375"/>
      <c r="G43" s="531"/>
      <c r="H43" s="377"/>
      <c r="I43" s="375"/>
      <c r="J43" s="624"/>
      <c r="K43" s="537"/>
      <c r="L43" s="380"/>
      <c r="M43" s="303"/>
      <c r="N43" s="382"/>
      <c r="O43" s="383"/>
      <c r="P43" s="384"/>
      <c r="Q43" s="385"/>
    </row>
    <row r="44" spans="1:17" ht="13.5" thickTop="1" x14ac:dyDescent="0.2">
      <c r="A44" s="389"/>
      <c r="C44" s="390"/>
      <c r="D44" s="374"/>
      <c r="E44" s="255"/>
      <c r="F44" s="375"/>
      <c r="G44" s="531"/>
      <c r="H44" s="377"/>
      <c r="I44" s="375"/>
      <c r="J44" s="391" t="s">
        <v>30</v>
      </c>
      <c r="K44" s="534">
        <f>SUM(K41:K43)</f>
        <v>0</v>
      </c>
      <c r="M44" s="276"/>
      <c r="N44" s="159"/>
      <c r="O44" s="383"/>
      <c r="P44" s="384"/>
      <c r="Q44" s="385"/>
    </row>
    <row r="45" spans="1:17" ht="13.5" thickBot="1" x14ac:dyDescent="0.25">
      <c r="A45" s="616" t="s">
        <v>0</v>
      </c>
      <c r="B45" s="617" t="s">
        <v>1</v>
      </c>
      <c r="C45" s="948" t="s">
        <v>656</v>
      </c>
      <c r="D45" s="948"/>
      <c r="E45" s="948"/>
      <c r="F45" s="948"/>
      <c r="G45" s="948" t="s">
        <v>34</v>
      </c>
      <c r="H45" s="948"/>
      <c r="I45" s="948"/>
      <c r="J45" s="618"/>
      <c r="K45" s="525"/>
      <c r="L45" s="393"/>
      <c r="M45" s="626"/>
      <c r="N45" s="395"/>
      <c r="O45" s="383"/>
      <c r="P45" s="413"/>
      <c r="Q45" s="385"/>
    </row>
    <row r="46" spans="1:17" ht="16.5" thickBot="1" x14ac:dyDescent="0.3">
      <c r="A46" s="527" t="s">
        <v>315</v>
      </c>
      <c r="B46" s="527" t="s">
        <v>66</v>
      </c>
      <c r="C46" s="640" t="s">
        <v>19</v>
      </c>
      <c r="D46" s="627" t="s">
        <v>33</v>
      </c>
      <c r="E46" s="628" t="s">
        <v>35</v>
      </c>
      <c r="F46" s="629" t="s">
        <v>30</v>
      </c>
      <c r="G46" s="630" t="s">
        <v>14</v>
      </c>
      <c r="H46" s="628" t="s">
        <v>35</v>
      </c>
      <c r="I46" s="629" t="s">
        <v>30</v>
      </c>
      <c r="J46" s="622" t="s">
        <v>659</v>
      </c>
      <c r="K46" s="631" t="s">
        <v>38</v>
      </c>
      <c r="L46" s="404"/>
      <c r="M46" s="634"/>
      <c r="N46" s="411"/>
      <c r="O46" s="383"/>
      <c r="P46" s="384"/>
      <c r="Q46" s="385"/>
    </row>
    <row r="47" spans="1:17" x14ac:dyDescent="0.2">
      <c r="A47" s="407"/>
      <c r="B47" s="408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624"/>
      <c r="K47" s="532">
        <f>F47+I47+J47</f>
        <v>0</v>
      </c>
      <c r="L47" s="380"/>
      <c r="M47" s="303"/>
      <c r="N47" s="382"/>
      <c r="O47" s="383"/>
      <c r="P47" s="384"/>
      <c r="Q47" s="385"/>
    </row>
    <row r="48" spans="1:17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624"/>
      <c r="K48" s="532">
        <f>F48+I48+J48</f>
        <v>0</v>
      </c>
      <c r="O48" s="383"/>
      <c r="P48" s="384"/>
      <c r="Q48" s="385"/>
    </row>
    <row r="49" spans="1:17" x14ac:dyDescent="0.2">
      <c r="A49" s="372"/>
      <c r="B49" s="159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624"/>
      <c r="K49" s="532">
        <f>F49+I49+J49</f>
        <v>0</v>
      </c>
      <c r="O49" s="383"/>
      <c r="P49" s="384"/>
      <c r="Q49" s="385"/>
    </row>
    <row r="50" spans="1:17" ht="13.5" thickBot="1" x14ac:dyDescent="0.25">
      <c r="A50" s="389"/>
      <c r="B50" s="5"/>
      <c r="C50" s="390"/>
      <c r="D50" s="374"/>
      <c r="E50" s="255"/>
      <c r="F50" s="375"/>
      <c r="G50" s="531"/>
      <c r="H50" s="377"/>
      <c r="I50" s="375"/>
      <c r="J50" s="624"/>
      <c r="K50" s="537"/>
      <c r="L50" s="380"/>
      <c r="M50" s="303"/>
      <c r="N50" s="382"/>
      <c r="O50" s="383"/>
      <c r="P50" s="384"/>
      <c r="Q50" s="385"/>
    </row>
    <row r="51" spans="1:17" ht="13.5" thickTop="1" x14ac:dyDescent="0.2">
      <c r="A51" s="389"/>
      <c r="B51" s="414"/>
      <c r="C51" s="390"/>
      <c r="D51" s="374"/>
      <c r="E51" s="255"/>
      <c r="F51" s="375"/>
      <c r="G51" s="531"/>
      <c r="H51" s="377"/>
      <c r="I51" s="375"/>
      <c r="J51" s="391" t="s">
        <v>30</v>
      </c>
      <c r="K51" s="534">
        <f>SUM(K47:K50)</f>
        <v>0</v>
      </c>
      <c r="L51" s="380"/>
      <c r="M51" s="303"/>
      <c r="N51" s="382"/>
      <c r="O51" s="383"/>
      <c r="P51" s="384"/>
      <c r="Q51" s="385"/>
    </row>
    <row r="52" spans="1:17" ht="13.5" thickBot="1" x14ac:dyDescent="0.25">
      <c r="A52" s="616" t="s">
        <v>0</v>
      </c>
      <c r="B52" s="617" t="s">
        <v>1</v>
      </c>
      <c r="C52" s="948" t="s">
        <v>656</v>
      </c>
      <c r="D52" s="948"/>
      <c r="E52" s="948"/>
      <c r="F52" s="948"/>
      <c r="G52" s="948" t="s">
        <v>34</v>
      </c>
      <c r="H52" s="948"/>
      <c r="I52" s="948"/>
      <c r="J52" s="618"/>
      <c r="K52" s="525"/>
      <c r="L52" s="393"/>
      <c r="M52" s="618"/>
      <c r="N52" s="395"/>
      <c r="O52" s="438"/>
      <c r="P52" s="439"/>
      <c r="Q52" s="385"/>
    </row>
    <row r="53" spans="1:17" ht="16.5" thickBot="1" x14ac:dyDescent="0.3">
      <c r="A53" s="527" t="s">
        <v>316</v>
      </c>
      <c r="B53" s="527" t="s">
        <v>317</v>
      </c>
      <c r="C53" s="640" t="s">
        <v>19</v>
      </c>
      <c r="D53" s="627" t="s">
        <v>33</v>
      </c>
      <c r="E53" s="628" t="s">
        <v>35</v>
      </c>
      <c r="F53" s="629" t="s">
        <v>30</v>
      </c>
      <c r="G53" s="630" t="s">
        <v>14</v>
      </c>
      <c r="H53" s="628" t="s">
        <v>35</v>
      </c>
      <c r="I53" s="629" t="s">
        <v>30</v>
      </c>
      <c r="J53" s="622" t="s">
        <v>659</v>
      </c>
      <c r="K53" s="631" t="s">
        <v>38</v>
      </c>
      <c r="L53" s="404"/>
      <c r="M53" s="634"/>
      <c r="N53" s="406"/>
      <c r="O53" s="438"/>
      <c r="P53" s="439"/>
      <c r="Q53" s="385"/>
    </row>
    <row r="54" spans="1:17" x14ac:dyDescent="0.2">
      <c r="A54" s="407"/>
      <c r="B54" s="408"/>
      <c r="C54" s="373"/>
      <c r="D54" s="374" t="s">
        <v>21</v>
      </c>
      <c r="E54" s="255">
        <v>0</v>
      </c>
      <c r="F54" s="375">
        <f>C54*E54</f>
        <v>0</v>
      </c>
      <c r="G54" s="531"/>
      <c r="H54" s="377">
        <v>0</v>
      </c>
      <c r="I54" s="375">
        <f>G54*H54</f>
        <v>0</v>
      </c>
      <c r="J54" s="624"/>
      <c r="K54" s="532">
        <f>F54+I54+J54</f>
        <v>0</v>
      </c>
      <c r="O54" s="412"/>
      <c r="P54" s="413"/>
      <c r="Q54" s="385"/>
    </row>
    <row r="55" spans="1:17" x14ac:dyDescent="0.2">
      <c r="A55" s="372"/>
      <c r="B55" s="5"/>
      <c r="C55" s="373"/>
      <c r="D55" s="374" t="s">
        <v>21</v>
      </c>
      <c r="E55" s="255">
        <v>0</v>
      </c>
      <c r="F55" s="375">
        <f>C55*E55</f>
        <v>0</v>
      </c>
      <c r="G55" s="531"/>
      <c r="H55" s="377">
        <v>0</v>
      </c>
      <c r="I55" s="375">
        <f>G55*H55</f>
        <v>0</v>
      </c>
      <c r="J55" s="624"/>
      <c r="K55" s="532">
        <f>F55+I55+J55</f>
        <v>0</v>
      </c>
      <c r="O55" s="383"/>
      <c r="P55" s="384"/>
      <c r="Q55" s="385"/>
    </row>
    <row r="56" spans="1:17" ht="13.5" thickBot="1" x14ac:dyDescent="0.25">
      <c r="A56" s="389"/>
      <c r="B56" s="414"/>
      <c r="C56" s="373"/>
      <c r="D56" s="374"/>
      <c r="E56" s="255"/>
      <c r="F56" s="375"/>
      <c r="G56" s="531"/>
      <c r="H56" s="377"/>
      <c r="I56" s="375"/>
      <c r="J56" s="624"/>
      <c r="K56" s="532"/>
      <c r="L56" s="380"/>
      <c r="M56" s="625"/>
      <c r="N56" s="382"/>
      <c r="O56" s="383"/>
      <c r="P56" s="384"/>
      <c r="Q56" s="385"/>
    </row>
    <row r="57" spans="1:17" ht="14.25" thickTop="1" thickBot="1" x14ac:dyDescent="0.25">
      <c r="A57" s="472"/>
      <c r="B57" s="156"/>
      <c r="C57" s="473"/>
      <c r="D57" s="474"/>
      <c r="E57" s="635"/>
      <c r="F57" s="476"/>
      <c r="G57" s="636"/>
      <c r="H57" s="635"/>
      <c r="I57" s="476"/>
      <c r="J57" s="478" t="s">
        <v>30</v>
      </c>
      <c r="K57" s="637">
        <f>SUM(K54:K56)</f>
        <v>0</v>
      </c>
      <c r="L57" s="380"/>
      <c r="M57" s="625"/>
      <c r="N57" s="382"/>
      <c r="O57" s="383"/>
      <c r="P57" s="384"/>
      <c r="Q57" s="385"/>
    </row>
    <row r="58" spans="1:17" ht="13.5" thickBot="1" x14ac:dyDescent="0.25">
      <c r="A58" s="616" t="s">
        <v>0</v>
      </c>
      <c r="B58" s="617" t="s">
        <v>1</v>
      </c>
      <c r="C58" s="948" t="s">
        <v>656</v>
      </c>
      <c r="D58" s="948"/>
      <c r="E58" s="948"/>
      <c r="F58" s="948"/>
      <c r="G58" s="948" t="s">
        <v>34</v>
      </c>
      <c r="H58" s="948"/>
      <c r="I58" s="948"/>
      <c r="J58" s="618"/>
      <c r="K58" s="525"/>
      <c r="L58" s="393"/>
      <c r="M58" s="618"/>
      <c r="N58" s="440"/>
      <c r="O58" s="383"/>
      <c r="P58" s="384"/>
      <c r="Q58" s="385"/>
    </row>
    <row r="59" spans="1:17" ht="15.75" x14ac:dyDescent="0.25">
      <c r="A59" s="527" t="s">
        <v>318</v>
      </c>
      <c r="B59" s="527" t="s">
        <v>319</v>
      </c>
      <c r="C59" s="640" t="s">
        <v>19</v>
      </c>
      <c r="D59" s="627" t="s">
        <v>33</v>
      </c>
      <c r="E59" s="628" t="s">
        <v>35</v>
      </c>
      <c r="F59" s="629" t="s">
        <v>30</v>
      </c>
      <c r="G59" s="630" t="s">
        <v>14</v>
      </c>
      <c r="H59" s="628" t="s">
        <v>35</v>
      </c>
      <c r="I59" s="629" t="s">
        <v>30</v>
      </c>
      <c r="J59" s="622" t="s">
        <v>659</v>
      </c>
      <c r="K59" s="631" t="s">
        <v>38</v>
      </c>
      <c r="L59" s="404"/>
      <c r="M59" s="634"/>
      <c r="N59" s="411"/>
      <c r="O59" s="383"/>
      <c r="P59" s="384"/>
      <c r="Q59" s="385"/>
    </row>
    <row r="60" spans="1:17" ht="15" x14ac:dyDescent="0.2">
      <c r="A60" s="196" t="s">
        <v>320</v>
      </c>
      <c r="B60" s="196" t="s">
        <v>321</v>
      </c>
      <c r="C60" s="373"/>
      <c r="D60" s="374" t="s">
        <v>21</v>
      </c>
      <c r="E60" s="255">
        <v>0</v>
      </c>
      <c r="F60" s="375">
        <f>C60*E60</f>
        <v>0</v>
      </c>
      <c r="G60" s="531"/>
      <c r="H60" s="377">
        <v>0</v>
      </c>
      <c r="I60" s="375">
        <f>G60*H60</f>
        <v>0</v>
      </c>
      <c r="J60" s="624"/>
      <c r="K60" s="532">
        <f>F60+I60+J60</f>
        <v>0</v>
      </c>
      <c r="L60" s="380"/>
      <c r="M60" s="625"/>
      <c r="N60" s="382"/>
      <c r="O60" s="383"/>
      <c r="P60" s="384"/>
      <c r="Q60" s="385"/>
    </row>
    <row r="61" spans="1:17" x14ac:dyDescent="0.2">
      <c r="A61" s="158" t="s">
        <v>322</v>
      </c>
      <c r="B61" s="159" t="s">
        <v>323</v>
      </c>
      <c r="C61" s="373"/>
      <c r="D61" s="374" t="s">
        <v>21</v>
      </c>
      <c r="E61" s="255">
        <v>0</v>
      </c>
      <c r="F61" s="375">
        <f>C61*E61</f>
        <v>0</v>
      </c>
      <c r="G61" s="531"/>
      <c r="H61" s="377">
        <v>0</v>
      </c>
      <c r="I61" s="375">
        <f>G61*H61</f>
        <v>0</v>
      </c>
      <c r="J61" s="624"/>
      <c r="K61" s="532">
        <f>F61+I61+J61</f>
        <v>0</v>
      </c>
      <c r="L61" s="380"/>
      <c r="M61" s="625"/>
      <c r="N61" s="382"/>
      <c r="O61" s="383"/>
      <c r="P61" s="384"/>
      <c r="Q61" s="385"/>
    </row>
    <row r="62" spans="1:17" ht="15.75" thickBot="1" x14ac:dyDescent="0.25">
      <c r="A62" s="196" t="s">
        <v>324</v>
      </c>
      <c r="B62" s="196" t="s">
        <v>325</v>
      </c>
      <c r="C62" s="373"/>
      <c r="D62" s="374"/>
      <c r="E62" s="255"/>
      <c r="F62" s="375"/>
      <c r="G62" s="531"/>
      <c r="H62" s="377"/>
      <c r="I62" s="375"/>
      <c r="J62" s="624"/>
      <c r="K62" s="532"/>
      <c r="L62" s="380"/>
      <c r="M62" s="625"/>
      <c r="N62" s="382"/>
      <c r="O62" s="383"/>
      <c r="P62" s="384"/>
      <c r="Q62" s="385"/>
    </row>
    <row r="63" spans="1:17" ht="14.25" thickTop="1" thickBot="1" x14ac:dyDescent="0.25">
      <c r="A63" s="472"/>
      <c r="B63" s="156"/>
      <c r="C63" s="473"/>
      <c r="D63" s="474"/>
      <c r="E63" s="635"/>
      <c r="F63" s="476"/>
      <c r="G63" s="636"/>
      <c r="H63" s="635"/>
      <c r="I63" s="476"/>
      <c r="J63" s="478" t="s">
        <v>30</v>
      </c>
      <c r="K63" s="637">
        <f>SUM(K60:K62)</f>
        <v>0</v>
      </c>
      <c r="O63" s="542"/>
      <c r="P63" s="543"/>
      <c r="Q63" s="385"/>
    </row>
    <row r="64" spans="1:17" ht="13.5" thickBot="1" x14ac:dyDescent="0.25">
      <c r="A64" s="616" t="s">
        <v>0</v>
      </c>
      <c r="B64" s="617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618"/>
      <c r="K64" s="525"/>
      <c r="L64" s="393"/>
      <c r="M64" s="618"/>
      <c r="N64" s="440"/>
      <c r="O64" s="383"/>
      <c r="P64" s="384"/>
      <c r="Q64" s="385"/>
    </row>
    <row r="65" spans="1:17" ht="13.5" thickBot="1" x14ac:dyDescent="0.25">
      <c r="A65" s="201"/>
      <c r="B65" s="201"/>
      <c r="C65" s="640" t="s">
        <v>19</v>
      </c>
      <c r="D65" s="627" t="s">
        <v>33</v>
      </c>
      <c r="E65" s="628" t="s">
        <v>35</v>
      </c>
      <c r="F65" s="629" t="s">
        <v>30</v>
      </c>
      <c r="G65" s="630" t="s">
        <v>14</v>
      </c>
      <c r="H65" s="628" t="s">
        <v>35</v>
      </c>
      <c r="I65" s="629" t="s">
        <v>30</v>
      </c>
      <c r="J65" s="622" t="s">
        <v>659</v>
      </c>
      <c r="K65" s="631" t="s">
        <v>38</v>
      </c>
      <c r="L65" s="404"/>
      <c r="M65" s="634"/>
      <c r="N65" s="411"/>
      <c r="O65" s="383"/>
      <c r="P65" s="384"/>
      <c r="Q65" s="385"/>
    </row>
    <row r="66" spans="1:17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624"/>
      <c r="K66" s="532">
        <f>F66+I66+J66</f>
        <v>0</v>
      </c>
      <c r="M66" s="276"/>
      <c r="N66" s="159"/>
      <c r="O66" s="383"/>
      <c r="P66" s="384"/>
      <c r="Q66" s="385"/>
    </row>
    <row r="67" spans="1:17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624"/>
      <c r="K67" s="532">
        <f>F67+I67+J67</f>
        <v>0</v>
      </c>
      <c r="M67" s="276"/>
      <c r="N67" s="159"/>
      <c r="O67" s="383"/>
      <c r="P67" s="384"/>
      <c r="Q67" s="385"/>
    </row>
    <row r="68" spans="1:17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624"/>
      <c r="K68" s="532">
        <f>F68+I68+J68</f>
        <v>0</v>
      </c>
      <c r="M68" s="276"/>
      <c r="N68" s="159"/>
      <c r="O68" s="542"/>
      <c r="P68" s="543"/>
      <c r="Q68" s="385"/>
    </row>
    <row r="69" spans="1:17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624"/>
      <c r="K69" s="532">
        <f>F69+I69+J69</f>
        <v>0</v>
      </c>
      <c r="M69" s="276"/>
      <c r="N69" s="159"/>
      <c r="O69" s="383"/>
      <c r="P69" s="384"/>
      <c r="Q69" s="385"/>
    </row>
    <row r="70" spans="1:17" ht="13.5" thickBot="1" x14ac:dyDescent="0.25">
      <c r="A70" s="389"/>
      <c r="B70" s="414"/>
      <c r="C70" s="373"/>
      <c r="D70" s="374"/>
      <c r="E70" s="255"/>
      <c r="F70" s="375"/>
      <c r="G70" s="531"/>
      <c r="H70" s="377"/>
      <c r="I70" s="375"/>
      <c r="J70" s="624"/>
      <c r="K70" s="532"/>
      <c r="L70" s="549"/>
      <c r="M70" s="263"/>
      <c r="N70" s="159"/>
      <c r="O70" s="383"/>
      <c r="P70" s="384"/>
      <c r="Q70" s="385"/>
    </row>
    <row r="71" spans="1:17" ht="14.25" thickTop="1" thickBot="1" x14ac:dyDescent="0.25">
      <c r="A71" s="472"/>
      <c r="B71" s="156"/>
      <c r="C71" s="473"/>
      <c r="D71" s="474"/>
      <c r="E71" s="635"/>
      <c r="F71" s="476"/>
      <c r="G71" s="636"/>
      <c r="H71" s="635"/>
      <c r="I71" s="476"/>
      <c r="J71" s="478" t="s">
        <v>30</v>
      </c>
      <c r="K71" s="637">
        <f>SUM(K66:K70)</f>
        <v>0</v>
      </c>
      <c r="L71" s="585"/>
      <c r="M71" s="659"/>
      <c r="N71" s="660"/>
      <c r="O71" s="462"/>
      <c r="P71" s="463"/>
      <c r="Q71" s="464"/>
    </row>
    <row r="72" spans="1:17" ht="14.1" customHeight="1" x14ac:dyDescent="0.25">
      <c r="A72" s="480"/>
      <c r="B72" s="481"/>
      <c r="C72" s="482"/>
      <c r="D72" s="482"/>
      <c r="E72" s="644"/>
      <c r="F72" s="1077" t="s">
        <v>658</v>
      </c>
      <c r="G72" s="1001" t="s">
        <v>682</v>
      </c>
      <c r="H72" s="644"/>
      <c r="I72" s="1074" t="s">
        <v>657</v>
      </c>
      <c r="J72" s="967" t="s">
        <v>683</v>
      </c>
      <c r="K72" s="1066" t="s">
        <v>31</v>
      </c>
    </row>
    <row r="73" spans="1:17" ht="15" x14ac:dyDescent="0.25">
      <c r="A73" s="484" t="s">
        <v>32</v>
      </c>
      <c r="B73" s="1076" t="s">
        <v>45</v>
      </c>
      <c r="C73" s="485"/>
      <c r="D73" s="645"/>
      <c r="E73" s="645"/>
      <c r="F73" s="1078"/>
      <c r="G73" s="1002"/>
      <c r="H73" s="646"/>
      <c r="I73" s="1075"/>
      <c r="J73" s="968"/>
      <c r="K73" s="1067"/>
    </row>
    <row r="74" spans="1:17" ht="15" x14ac:dyDescent="0.25">
      <c r="A74" s="830">
        <f>K75/E6</f>
        <v>0</v>
      </c>
      <c r="B74" s="1076"/>
      <c r="C74" s="645"/>
      <c r="D74" s="645"/>
      <c r="E74" s="645"/>
      <c r="F74" s="1068">
        <f>SUM(F66:F70,F60:F62,F54:F56,F47:F50,F41:F43,F28:F37,F20:F24,F11:F16)</f>
        <v>0</v>
      </c>
      <c r="G74" s="1070">
        <f>SUM(G66:G70,G60:G62,G54:G56,G47:G50,G41:G43,G28:G37,G20:G24,G11:G16)</f>
        <v>46</v>
      </c>
      <c r="H74" s="646"/>
      <c r="I74" s="1068">
        <f>SUM(I66:I70,I60:I62,I54:I56,I47:I50,I41:I43,I28:I37,I20:I24,I11:I16)</f>
        <v>1690</v>
      </c>
      <c r="J74" s="1068">
        <f>SUM(J66:J70,J60:J62,J54:J56,J47:J50,J41:J43,J28:J37,J20:J24,J11:J16)</f>
        <v>10000</v>
      </c>
      <c r="K74" s="1072">
        <f>K71+K63+K57+K51+K44+K38+K25+K17</f>
        <v>11690</v>
      </c>
    </row>
    <row r="75" spans="1:17" ht="15" thickBot="1" x14ac:dyDescent="0.25">
      <c r="A75" s="484"/>
      <c r="B75" s="552"/>
      <c r="C75" s="490"/>
      <c r="D75" s="490"/>
      <c r="E75" s="490"/>
      <c r="F75" s="1069"/>
      <c r="G75" s="1071"/>
      <c r="H75" s="490"/>
      <c r="I75" s="1069"/>
      <c r="J75" s="1069"/>
      <c r="K75" s="1073"/>
    </row>
    <row r="76" spans="1:17" ht="13.5" thickBot="1" x14ac:dyDescent="0.25">
      <c r="A76" s="491"/>
      <c r="B76" s="492"/>
      <c r="C76" s="492"/>
      <c r="D76" s="492"/>
      <c r="E76" s="492"/>
      <c r="F76" s="492"/>
      <c r="G76" s="492"/>
      <c r="H76" s="492"/>
      <c r="I76" s="492"/>
      <c r="J76" s="492"/>
      <c r="K76" s="493"/>
    </row>
  </sheetData>
  <mergeCells count="52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9:F39"/>
    <mergeCell ref="G39:I39"/>
    <mergeCell ref="C18:F18"/>
    <mergeCell ref="G18:I18"/>
    <mergeCell ref="C26:F26"/>
    <mergeCell ref="G26:I26"/>
    <mergeCell ref="C45:F45"/>
    <mergeCell ref="G45:I45"/>
    <mergeCell ref="C52:F52"/>
    <mergeCell ref="G52:I52"/>
    <mergeCell ref="F74:F75"/>
    <mergeCell ref="G74:G75"/>
    <mergeCell ref="C58:F58"/>
    <mergeCell ref="G58:I58"/>
    <mergeCell ref="C64:F64"/>
    <mergeCell ref="G64:I64"/>
    <mergeCell ref="F72:F73"/>
    <mergeCell ref="G72:G73"/>
    <mergeCell ref="I72:I73"/>
    <mergeCell ref="J72:J73"/>
    <mergeCell ref="K72:K73"/>
    <mergeCell ref="B73:B74"/>
    <mergeCell ref="I74:I75"/>
    <mergeCell ref="J74:J75"/>
    <mergeCell ref="K74:K75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07"/>
  <sheetViews>
    <sheetView topLeftCell="A55" zoomScale="90" zoomScaleNormal="90" zoomScaleSheetLayoutView="90" zoomScalePageLayoutView="90" workbookViewId="0">
      <selection activeCell="J93" sqref="J93"/>
    </sheetView>
  </sheetViews>
  <sheetFormatPr defaultColWidth="9.140625" defaultRowHeight="12.75" x14ac:dyDescent="0.2"/>
  <cols>
    <col min="1" max="1" width="12.140625" style="157" bestFit="1" customWidth="1"/>
    <col min="2" max="2" width="43.42578125" style="157" customWidth="1"/>
    <col min="3" max="3" width="5" style="442" customWidth="1"/>
    <col min="4" max="4" width="5" style="661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140625" style="157" bestFit="1" customWidth="1"/>
    <col min="10" max="10" width="16.140625" style="157" bestFit="1" customWidth="1"/>
    <col min="11" max="11" width="14.1406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69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5" customHeight="1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327</v>
      </c>
      <c r="B10" s="527" t="s">
        <v>328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/>
      <c r="C11" s="373"/>
      <c r="D11" s="374" t="s">
        <v>21</v>
      </c>
      <c r="E11" s="255">
        <v>0</v>
      </c>
      <c r="F11" s="375">
        <f t="shared" ref="F11:F22" si="0">C11*E11</f>
        <v>0</v>
      </c>
      <c r="G11" s="531"/>
      <c r="H11" s="377">
        <v>0</v>
      </c>
      <c r="I11" s="375">
        <f t="shared" ref="I11:I22" si="1">G11*H11</f>
        <v>0</v>
      </c>
      <c r="J11" s="378"/>
      <c r="K11" s="532">
        <f t="shared" ref="K11:K22" si="2">F11+I11+J11</f>
        <v>0</v>
      </c>
      <c r="L11" s="380"/>
      <c r="M11" s="381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157"/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157"/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157"/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157"/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157"/>
      <c r="M22" s="471"/>
      <c r="O22" s="383"/>
      <c r="P22" s="384"/>
      <c r="Q22" s="385"/>
    </row>
    <row r="23" spans="1:17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O23" s="383"/>
      <c r="P23" s="384"/>
      <c r="Q23" s="385"/>
    </row>
    <row r="24" spans="1:17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157"/>
      <c r="M24" s="471"/>
      <c r="O24" s="383"/>
      <c r="P24" s="384"/>
      <c r="Q24" s="385"/>
    </row>
    <row r="25" spans="1:17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ht="16.5" thickBot="1" x14ac:dyDescent="0.3">
      <c r="A26" s="527" t="s">
        <v>329</v>
      </c>
      <c r="B26" s="527" t="s">
        <v>330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x14ac:dyDescent="0.2">
      <c r="A27" s="407"/>
      <c r="B27" s="408"/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L27" s="157"/>
      <c r="M27" s="471"/>
      <c r="O27" s="383"/>
      <c r="P27" s="384"/>
      <c r="Q27" s="385"/>
    </row>
    <row r="28" spans="1:17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O28" s="383"/>
      <c r="P28" s="384"/>
      <c r="Q28" s="385"/>
    </row>
    <row r="29" spans="1:17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540"/>
      <c r="M32" s="257"/>
      <c r="N32" s="423"/>
      <c r="O32" s="383"/>
      <c r="P32" s="384"/>
      <c r="Q32" s="385"/>
    </row>
    <row r="33" spans="1:17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157"/>
      <c r="M33" s="471"/>
      <c r="O33" s="383"/>
      <c r="P33" s="384"/>
      <c r="Q33" s="385"/>
    </row>
    <row r="34" spans="1:17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O34" s="383"/>
      <c r="P34" s="384"/>
      <c r="Q34" s="385"/>
    </row>
    <row r="35" spans="1:17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ht="15.75" x14ac:dyDescent="0.25">
      <c r="A37" s="527" t="s">
        <v>331</v>
      </c>
      <c r="B37" s="527" t="s">
        <v>332</v>
      </c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x14ac:dyDescent="0.2">
      <c r="A38" s="258" t="s">
        <v>333</v>
      </c>
      <c r="B38" s="258" t="s">
        <v>334</v>
      </c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17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L39" s="380"/>
      <c r="M39" s="381"/>
      <c r="N39" s="382"/>
      <c r="O39" s="412"/>
      <c r="P39" s="413"/>
      <c r="Q39" s="385"/>
    </row>
    <row r="40" spans="1:17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381"/>
      <c r="N40" s="382"/>
      <c r="O40" s="412"/>
      <c r="P40" s="413"/>
      <c r="Q40" s="385"/>
    </row>
    <row r="41" spans="1:17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17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O42" s="412"/>
      <c r="P42" s="413"/>
      <c r="Q42" s="385"/>
    </row>
    <row r="43" spans="1:17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O43" s="383"/>
      <c r="P43" s="384"/>
      <c r="Q43" s="385"/>
    </row>
    <row r="44" spans="1:17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17" ht="15.75" x14ac:dyDescent="0.25">
      <c r="A45" s="527" t="s">
        <v>335</v>
      </c>
      <c r="B45" s="527" t="s">
        <v>336</v>
      </c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17" x14ac:dyDescent="0.2">
      <c r="A46" s="258" t="s">
        <v>337</v>
      </c>
      <c r="B46" s="258" t="s">
        <v>338</v>
      </c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17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380"/>
      <c r="M47" s="257"/>
      <c r="N47" s="423"/>
      <c r="O47" s="383"/>
      <c r="P47" s="384"/>
      <c r="Q47" s="385"/>
    </row>
    <row r="48" spans="1:17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663"/>
      <c r="M48" s="664"/>
      <c r="N48" s="665"/>
      <c r="O48" s="383"/>
      <c r="P48" s="384"/>
      <c r="Q48" s="385"/>
    </row>
    <row r="49" spans="1:17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ht="13.5" thickTop="1" x14ac:dyDescent="0.2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157"/>
      <c r="M52" s="471"/>
      <c r="O52" s="438"/>
      <c r="P52" s="439"/>
      <c r="Q52" s="385"/>
    </row>
    <row r="53" spans="1:17" ht="13.5" thickBot="1" x14ac:dyDescent="0.25">
      <c r="A53" s="355" t="s">
        <v>0</v>
      </c>
      <c r="B53" s="356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357"/>
      <c r="K53" s="525"/>
      <c r="L53" s="393"/>
      <c r="M53" s="357"/>
      <c r="N53" s="395"/>
      <c r="O53" s="438"/>
      <c r="P53" s="439"/>
      <c r="Q53" s="385"/>
    </row>
    <row r="54" spans="1:17" ht="15.75" x14ac:dyDescent="0.25">
      <c r="A54" s="527" t="s">
        <v>339</v>
      </c>
      <c r="B54" s="527" t="s">
        <v>340</v>
      </c>
      <c r="C54" s="398" t="s">
        <v>19</v>
      </c>
      <c r="D54" s="399" t="s">
        <v>33</v>
      </c>
      <c r="E54" s="400" t="s">
        <v>35</v>
      </c>
      <c r="F54" s="401" t="s">
        <v>30</v>
      </c>
      <c r="G54" s="535" t="s">
        <v>14</v>
      </c>
      <c r="H54" s="400" t="s">
        <v>35</v>
      </c>
      <c r="I54" s="401" t="s">
        <v>30</v>
      </c>
      <c r="J54" s="366" t="s">
        <v>659</v>
      </c>
      <c r="K54" s="536" t="s">
        <v>38</v>
      </c>
      <c r="L54" s="404"/>
      <c r="M54" s="410"/>
      <c r="N54" s="406"/>
      <c r="O54" s="412"/>
      <c r="P54" s="413"/>
      <c r="Q54" s="385"/>
    </row>
    <row r="55" spans="1:17" x14ac:dyDescent="0.2">
      <c r="A55" s="258" t="s">
        <v>341</v>
      </c>
      <c r="B55" s="258" t="s">
        <v>342</v>
      </c>
      <c r="C55" s="373"/>
      <c r="D55" s="374" t="s">
        <v>21</v>
      </c>
      <c r="E55" s="255">
        <v>0</v>
      </c>
      <c r="F55" s="375">
        <f t="shared" ref="F55:F61" si="6">C55*E55</f>
        <v>0</v>
      </c>
      <c r="G55" s="531"/>
      <c r="H55" s="377">
        <v>0</v>
      </c>
      <c r="I55" s="375">
        <f t="shared" ref="I55:I61" si="7">G55*H55</f>
        <v>0</v>
      </c>
      <c r="J55" s="378"/>
      <c r="K55" s="532">
        <f t="shared" ref="K55:K61" si="8">F55+I55+J55</f>
        <v>0</v>
      </c>
      <c r="O55" s="383"/>
      <c r="P55" s="384"/>
      <c r="Q55" s="385"/>
    </row>
    <row r="56" spans="1:17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L56" s="380"/>
      <c r="M56" s="257"/>
      <c r="N56" s="382"/>
      <c r="O56" s="383"/>
      <c r="P56" s="384"/>
      <c r="Q56" s="385"/>
    </row>
    <row r="57" spans="1:17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L57" s="380"/>
      <c r="M57" s="257"/>
      <c r="N57" s="382"/>
      <c r="O57" s="383"/>
      <c r="P57" s="384"/>
      <c r="Q57" s="385"/>
    </row>
    <row r="58" spans="1:17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663"/>
      <c r="M59" s="257"/>
      <c r="N59" s="665"/>
      <c r="O59" s="383"/>
      <c r="P59" s="384"/>
      <c r="Q59" s="385"/>
    </row>
    <row r="60" spans="1:17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666"/>
      <c r="M60" s="257"/>
      <c r="N60" s="667"/>
      <c r="O60" s="383"/>
      <c r="P60" s="384"/>
      <c r="Q60" s="385"/>
    </row>
    <row r="61" spans="1:17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257"/>
      <c r="N61" s="423"/>
      <c r="O61" s="383"/>
      <c r="P61" s="384"/>
      <c r="Q61" s="385"/>
    </row>
    <row r="62" spans="1:17" ht="13.5" thickBot="1" x14ac:dyDescent="0.25">
      <c r="A62" s="389"/>
      <c r="B62" s="5"/>
      <c r="C62" s="390"/>
      <c r="D62" s="374"/>
      <c r="E62" s="255"/>
      <c r="F62" s="375"/>
      <c r="G62" s="531"/>
      <c r="H62" s="377"/>
      <c r="I62" s="375"/>
      <c r="J62" s="378"/>
      <c r="K62" s="537"/>
      <c r="O62" s="383"/>
      <c r="P62" s="384"/>
      <c r="Q62" s="385"/>
    </row>
    <row r="63" spans="1:17" ht="13.5" thickTop="1" x14ac:dyDescent="0.2">
      <c r="A63" s="389"/>
      <c r="B63" s="414"/>
      <c r="C63" s="390"/>
      <c r="D63" s="374"/>
      <c r="E63" s="255"/>
      <c r="F63" s="375"/>
      <c r="G63" s="531"/>
      <c r="H63" s="377"/>
      <c r="I63" s="375"/>
      <c r="J63" s="391" t="s">
        <v>30</v>
      </c>
      <c r="K63" s="534">
        <f>SUM(K55:K62)</f>
        <v>0</v>
      </c>
      <c r="O63" s="383"/>
      <c r="P63" s="384"/>
      <c r="Q63" s="385"/>
    </row>
    <row r="64" spans="1:17" ht="13.5" thickBot="1" x14ac:dyDescent="0.25">
      <c r="A64" s="355" t="s">
        <v>0</v>
      </c>
      <c r="B64" s="356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357"/>
      <c r="K64" s="525"/>
      <c r="L64" s="393"/>
      <c r="M64" s="357"/>
      <c r="N64" s="440"/>
      <c r="O64" s="383"/>
      <c r="P64" s="384"/>
      <c r="Q64" s="385"/>
    </row>
    <row r="65" spans="1:17" ht="16.5" thickBot="1" x14ac:dyDescent="0.3">
      <c r="A65" s="527" t="s">
        <v>343</v>
      </c>
      <c r="B65" s="527" t="s">
        <v>344</v>
      </c>
      <c r="C65" s="398" t="s">
        <v>19</v>
      </c>
      <c r="D65" s="399" t="s">
        <v>33</v>
      </c>
      <c r="E65" s="400" t="s">
        <v>35</v>
      </c>
      <c r="F65" s="401" t="s">
        <v>30</v>
      </c>
      <c r="G65" s="535" t="s">
        <v>14</v>
      </c>
      <c r="H65" s="400" t="s">
        <v>35</v>
      </c>
      <c r="I65" s="401" t="s">
        <v>30</v>
      </c>
      <c r="J65" s="366" t="s">
        <v>659</v>
      </c>
      <c r="K65" s="536" t="s">
        <v>38</v>
      </c>
      <c r="L65" s="404"/>
      <c r="M65" s="410"/>
      <c r="N65" s="411"/>
      <c r="O65" s="383"/>
      <c r="P65" s="384"/>
      <c r="Q65" s="385"/>
    </row>
    <row r="66" spans="1:17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L68" s="380"/>
      <c r="M68" s="381"/>
      <c r="N68" s="382"/>
      <c r="O68" s="383"/>
      <c r="P68" s="384"/>
      <c r="Q68" s="385"/>
    </row>
    <row r="69" spans="1:17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O69" s="383"/>
      <c r="P69" s="384"/>
      <c r="Q69" s="385"/>
    </row>
    <row r="70" spans="1:17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O70" s="383"/>
      <c r="P70" s="384"/>
      <c r="Q70" s="385"/>
    </row>
    <row r="71" spans="1:17" ht="13.5" thickBot="1" x14ac:dyDescent="0.25">
      <c r="A71" s="389"/>
      <c r="B71" s="5"/>
      <c r="C71" s="390"/>
      <c r="D71" s="374"/>
      <c r="E71" s="255"/>
      <c r="F71" s="375"/>
      <c r="G71" s="531"/>
      <c r="H71" s="377"/>
      <c r="I71" s="375"/>
      <c r="J71" s="378"/>
      <c r="K71" s="537"/>
      <c r="O71" s="383"/>
      <c r="P71" s="384"/>
      <c r="Q71" s="385"/>
    </row>
    <row r="72" spans="1:17" ht="13.5" thickTop="1" x14ac:dyDescent="0.2">
      <c r="A72" s="389"/>
      <c r="B72" s="414"/>
      <c r="C72" s="390"/>
      <c r="D72" s="374"/>
      <c r="E72" s="255"/>
      <c r="F72" s="375"/>
      <c r="G72" s="531"/>
      <c r="H72" s="377"/>
      <c r="I72" s="375"/>
      <c r="J72" s="391" t="s">
        <v>30</v>
      </c>
      <c r="K72" s="534">
        <f>SUM(K66:K71)</f>
        <v>0</v>
      </c>
      <c r="O72" s="383"/>
      <c r="P72" s="384"/>
      <c r="Q72" s="385"/>
    </row>
    <row r="73" spans="1:17" ht="13.5" thickBot="1" x14ac:dyDescent="0.25">
      <c r="A73" s="355" t="s">
        <v>0</v>
      </c>
      <c r="B73" s="356" t="s">
        <v>1</v>
      </c>
      <c r="C73" s="948" t="s">
        <v>656</v>
      </c>
      <c r="D73" s="948"/>
      <c r="E73" s="948"/>
      <c r="F73" s="948"/>
      <c r="G73" s="948" t="s">
        <v>34</v>
      </c>
      <c r="H73" s="948"/>
      <c r="I73" s="948"/>
      <c r="J73" s="357"/>
      <c r="K73" s="525"/>
      <c r="L73" s="393"/>
      <c r="M73" s="394"/>
      <c r="N73" s="395"/>
      <c r="O73" s="383"/>
      <c r="P73" s="384"/>
      <c r="Q73" s="385"/>
    </row>
    <row r="74" spans="1:17" ht="16.5" thickBot="1" x14ac:dyDescent="0.3">
      <c r="A74" s="527" t="s">
        <v>345</v>
      </c>
      <c r="B74" s="527" t="s">
        <v>346</v>
      </c>
      <c r="C74" s="398" t="s">
        <v>19</v>
      </c>
      <c r="D74" s="399" t="s">
        <v>33</v>
      </c>
      <c r="E74" s="400" t="s">
        <v>35</v>
      </c>
      <c r="F74" s="401" t="s">
        <v>30</v>
      </c>
      <c r="G74" s="535" t="s">
        <v>14</v>
      </c>
      <c r="H74" s="400" t="s">
        <v>35</v>
      </c>
      <c r="I74" s="401" t="s">
        <v>30</v>
      </c>
      <c r="J74" s="366" t="s">
        <v>659</v>
      </c>
      <c r="K74" s="536" t="s">
        <v>38</v>
      </c>
      <c r="L74" s="404"/>
      <c r="M74" s="405"/>
      <c r="N74" s="406"/>
      <c r="O74" s="383"/>
      <c r="P74" s="384"/>
      <c r="Q74" s="385"/>
    </row>
    <row r="75" spans="1:17" x14ac:dyDescent="0.2">
      <c r="A75" s="407"/>
      <c r="B75" s="408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L75" s="380"/>
      <c r="M75" s="381"/>
      <c r="N75" s="382"/>
      <c r="O75" s="383"/>
      <c r="P75" s="384"/>
      <c r="Q75" s="385"/>
    </row>
    <row r="76" spans="1:17" x14ac:dyDescent="0.2">
      <c r="A76" s="372"/>
      <c r="B76" s="5"/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L76" s="663"/>
      <c r="M76" s="664"/>
      <c r="N76" s="665"/>
      <c r="O76" s="383"/>
      <c r="P76" s="384"/>
      <c r="Q76" s="385"/>
    </row>
    <row r="77" spans="1:17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ht="13.5" thickTop="1" x14ac:dyDescent="0.2">
      <c r="A79" s="389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SUM(K75:K78)</f>
        <v>0</v>
      </c>
      <c r="L79" s="380"/>
      <c r="M79" s="381"/>
      <c r="N79" s="382"/>
      <c r="O79" s="383"/>
      <c r="P79" s="384"/>
      <c r="Q79" s="385"/>
    </row>
    <row r="80" spans="1:17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ht="16.5" thickBot="1" x14ac:dyDescent="0.3">
      <c r="A81" s="396"/>
      <c r="B81" s="397"/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O82" s="383"/>
      <c r="P82" s="384"/>
      <c r="Q82" s="385"/>
    </row>
    <row r="83" spans="1:17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O83" s="383"/>
      <c r="P83" s="384"/>
      <c r="Q83" s="385"/>
    </row>
    <row r="84" spans="1:17" x14ac:dyDescent="0.2">
      <c r="A84" s="372"/>
      <c r="B84" s="159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O84" s="383"/>
      <c r="P84" s="384"/>
      <c r="Q84" s="385"/>
    </row>
    <row r="85" spans="1:17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L85" s="380"/>
      <c r="M85" s="381"/>
      <c r="N85" s="382"/>
      <c r="O85" s="383"/>
      <c r="P85" s="384"/>
      <c r="Q85" s="385"/>
    </row>
    <row r="86" spans="1:17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L86" s="380"/>
      <c r="M86" s="381"/>
      <c r="N86" s="382"/>
      <c r="O86" s="383"/>
      <c r="P86" s="384"/>
      <c r="Q86" s="385"/>
    </row>
    <row r="87" spans="1:17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L87" s="380"/>
      <c r="M87" s="381"/>
      <c r="N87" s="382"/>
      <c r="O87" s="383"/>
      <c r="P87" s="384"/>
      <c r="Q87" s="385"/>
    </row>
    <row r="88" spans="1:17" ht="13.5" thickTop="1" x14ac:dyDescent="0.2">
      <c r="A88" s="389"/>
      <c r="B88" s="414"/>
      <c r="C88" s="390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O88" s="383"/>
      <c r="P88" s="384"/>
      <c r="Q88" s="385"/>
    </row>
    <row r="89" spans="1:17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ht="16.5" thickBot="1" x14ac:dyDescent="0.3">
      <c r="A90" s="396"/>
      <c r="B90" s="397"/>
      <c r="C90" s="398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x14ac:dyDescent="0.2">
      <c r="A91" s="407"/>
      <c r="B91" s="408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380"/>
      <c r="M91" s="381"/>
      <c r="N91" s="382"/>
      <c r="O91" s="383"/>
      <c r="P91" s="384"/>
      <c r="Q91" s="385"/>
    </row>
    <row r="92" spans="1:17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669"/>
      <c r="M92" s="670"/>
      <c r="N92" s="671"/>
      <c r="O92" s="383"/>
      <c r="P92" s="384"/>
      <c r="Q92" s="385"/>
    </row>
    <row r="93" spans="1:17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669"/>
      <c r="M93" s="670"/>
      <c r="N93" s="672"/>
      <c r="O93" s="383"/>
      <c r="P93" s="384"/>
      <c r="Q93" s="385"/>
    </row>
    <row r="94" spans="1:17" x14ac:dyDescent="0.2">
      <c r="A94" s="372"/>
      <c r="B94" s="5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ht="13.5" thickBot="1" x14ac:dyDescent="0.25">
      <c r="A95" s="389"/>
      <c r="B95" s="414"/>
      <c r="C95" s="373"/>
      <c r="D95" s="374"/>
      <c r="E95" s="255"/>
      <c r="F95" s="375"/>
      <c r="G95" s="531"/>
      <c r="H95" s="377"/>
      <c r="I95" s="375"/>
      <c r="J95" s="378"/>
      <c r="K95" s="532"/>
      <c r="L95" s="669"/>
      <c r="M95" s="670"/>
      <c r="N95" s="672"/>
      <c r="O95" s="383"/>
      <c r="P95" s="384"/>
      <c r="Q95" s="385"/>
    </row>
    <row r="96" spans="1:17" ht="14.25" thickTop="1" thickBot="1" x14ac:dyDescent="0.25">
      <c r="A96" s="472"/>
      <c r="B96" s="156"/>
      <c r="C96" s="473"/>
      <c r="D96" s="474"/>
      <c r="E96" s="475"/>
      <c r="F96" s="476"/>
      <c r="G96" s="636"/>
      <c r="H96" s="475"/>
      <c r="I96" s="476"/>
      <c r="J96" s="478" t="s">
        <v>30</v>
      </c>
      <c r="K96" s="637">
        <f>SUM(K91:K95)</f>
        <v>0</v>
      </c>
      <c r="L96" s="669"/>
      <c r="M96" s="670"/>
      <c r="N96" s="672"/>
      <c r="O96" s="383"/>
      <c r="P96" s="384"/>
      <c r="Q96" s="385"/>
    </row>
    <row r="97" spans="1:17" ht="14.1" customHeight="1" thickBot="1" x14ac:dyDescent="0.3">
      <c r="A97" s="480"/>
      <c r="B97" s="481"/>
      <c r="C97" s="482"/>
      <c r="D97" s="482"/>
      <c r="E97" s="483"/>
      <c r="F97" s="978" t="s">
        <v>658</v>
      </c>
      <c r="G97" s="1001" t="s">
        <v>682</v>
      </c>
      <c r="H97" s="483"/>
      <c r="I97" s="971" t="s">
        <v>657</v>
      </c>
      <c r="J97" s="967" t="s">
        <v>683</v>
      </c>
      <c r="K97" s="965" t="s">
        <v>31</v>
      </c>
      <c r="L97" s="673"/>
      <c r="M97" s="674"/>
      <c r="N97" s="675"/>
      <c r="O97" s="462"/>
      <c r="P97" s="463"/>
      <c r="Q97" s="464"/>
    </row>
    <row r="98" spans="1:17" ht="15.75" thickTop="1" x14ac:dyDescent="0.2">
      <c r="A98" s="484" t="s">
        <v>32</v>
      </c>
      <c r="B98" s="973" t="s">
        <v>663</v>
      </c>
      <c r="C98" s="485"/>
      <c r="D98" s="486"/>
      <c r="E98" s="486"/>
      <c r="F98" s="979"/>
      <c r="G98" s="1002"/>
      <c r="H98" s="487"/>
      <c r="I98" s="972"/>
      <c r="J98" s="968"/>
      <c r="K98" s="966"/>
      <c r="M98" s="257"/>
    </row>
    <row r="99" spans="1:17" ht="15" x14ac:dyDescent="0.25">
      <c r="A99" s="828">
        <f>K99/E6</f>
        <v>0</v>
      </c>
      <c r="B99" s="973"/>
      <c r="C99" s="486"/>
      <c r="D99" s="486"/>
      <c r="E99" s="486"/>
      <c r="F99" s="961">
        <f>SUM(F91:F95,F82:F87,F75:F78,F66:F71,F55:F61,F46:F51,F38:F42,F27:F34,F11:F23)</f>
        <v>0</v>
      </c>
      <c r="G99" s="1006">
        <f>SUM(G91:G95,G82:G87,G75:G78,G66:G71,G55:G61,G46:G51,G38:G42,G27:G34,G11:G23)</f>
        <v>0</v>
      </c>
      <c r="H99" s="487"/>
      <c r="I99" s="961">
        <f>SUM(I91:I95,I82:I87,I75:I78,I66:I71,I55:I61,I46:I51,I38:I42,I27:I34,I11:I23)</f>
        <v>0</v>
      </c>
      <c r="J99" s="961">
        <f>SUM(J91:J95,J82:J87,J75:J78,J66:J71,J55:J61,J46:J51,J38:J42,J27:J34,J11:J23)</f>
        <v>0</v>
      </c>
      <c r="K99" s="963">
        <f>SUM(K96,K88,K79,K72,K63,K52,K43,K35,K24)</f>
        <v>0</v>
      </c>
      <c r="M99" s="257"/>
    </row>
    <row r="100" spans="1:17" ht="15" thickBot="1" x14ac:dyDescent="0.25">
      <c r="A100" s="484"/>
      <c r="B100" s="552"/>
      <c r="C100" s="490"/>
      <c r="D100" s="490"/>
      <c r="E100" s="490"/>
      <c r="F100" s="962"/>
      <c r="G100" s="1007"/>
      <c r="H100" s="490"/>
      <c r="I100" s="962"/>
      <c r="J100" s="962"/>
      <c r="K100" s="970"/>
      <c r="L100" s="549"/>
      <c r="M100" s="257"/>
    </row>
    <row r="101" spans="1:17" ht="13.5" thickBot="1" x14ac:dyDescent="0.25">
      <c r="A101" s="491"/>
      <c r="B101" s="492"/>
      <c r="C101" s="492"/>
      <c r="D101" s="492"/>
      <c r="E101" s="492"/>
      <c r="F101" s="492"/>
      <c r="G101" s="492"/>
      <c r="H101" s="492"/>
      <c r="I101" s="492"/>
      <c r="J101" s="492"/>
      <c r="K101" s="492"/>
      <c r="L101" s="549"/>
      <c r="M101" s="257"/>
    </row>
    <row r="102" spans="1:17" x14ac:dyDescent="0.2">
      <c r="M102" s="257"/>
    </row>
    <row r="103" spans="1:17" x14ac:dyDescent="0.2">
      <c r="M103" s="257"/>
    </row>
    <row r="104" spans="1:17" x14ac:dyDescent="0.2">
      <c r="M104" s="257"/>
    </row>
    <row r="105" spans="1:17" x14ac:dyDescent="0.2">
      <c r="M105" s="257"/>
    </row>
    <row r="106" spans="1:17" x14ac:dyDescent="0.2">
      <c r="M106" s="257"/>
    </row>
    <row r="107" spans="1:17" x14ac:dyDescent="0.2">
      <c r="M107" s="257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2"/>
  <sheetViews>
    <sheetView topLeftCell="A53" zoomScale="90" zoomScaleSheetLayoutView="90" workbookViewId="0">
      <selection activeCell="M31" sqref="M31"/>
    </sheetView>
  </sheetViews>
  <sheetFormatPr defaultColWidth="9.140625" defaultRowHeight="12.75" x14ac:dyDescent="0.2"/>
  <cols>
    <col min="1" max="1" width="12.85546875" style="157" bestFit="1" customWidth="1"/>
    <col min="2" max="2" width="41.5703125" style="157" customWidth="1"/>
    <col min="3" max="3" width="5" style="442" customWidth="1"/>
    <col min="4" max="4" width="5" style="661" customWidth="1"/>
    <col min="5" max="5" width="11" style="157" customWidth="1"/>
    <col min="6" max="6" width="12.5703125" style="157" bestFit="1" customWidth="1"/>
    <col min="7" max="7" width="7.140625" style="157" customWidth="1"/>
    <col min="8" max="8" width="11" style="157" bestFit="1" customWidth="1"/>
    <col min="9" max="9" width="12.5703125" style="157" bestFit="1" customWidth="1"/>
    <col min="10" max="10" width="16.42578125" style="157" customWidth="1"/>
    <col min="11" max="11" width="13.1406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662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348</v>
      </c>
      <c r="B10" s="527" t="s">
        <v>349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/>
      <c r="C11" s="373"/>
      <c r="D11" s="374" t="s">
        <v>21</v>
      </c>
      <c r="E11" s="255">
        <v>0</v>
      </c>
      <c r="F11" s="375">
        <f t="shared" ref="F11:F22" si="0">C11*E11</f>
        <v>0</v>
      </c>
      <c r="G11" s="531"/>
      <c r="H11" s="377">
        <v>0</v>
      </c>
      <c r="I11" s="375">
        <f t="shared" ref="I11:I22" si="1">G11*H11</f>
        <v>0</v>
      </c>
      <c r="J11" s="378"/>
      <c r="K11" s="532">
        <f t="shared" ref="K11:K22" si="2">F11+I11+J11</f>
        <v>0</v>
      </c>
      <c r="L11" s="380"/>
      <c r="M11" s="381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157"/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157"/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157"/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157"/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157"/>
      <c r="M22" s="471"/>
      <c r="O22" s="383"/>
      <c r="P22" s="384"/>
      <c r="Q22" s="385"/>
    </row>
    <row r="23" spans="1:17" s="676" customFormat="1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N23" s="157"/>
      <c r="O23" s="383"/>
      <c r="P23" s="384"/>
      <c r="Q23" s="385"/>
    </row>
    <row r="24" spans="1:17" s="676" customFormat="1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157"/>
      <c r="M24" s="471"/>
      <c r="N24" s="157"/>
      <c r="O24" s="383"/>
      <c r="P24" s="384"/>
      <c r="Q24" s="385"/>
    </row>
    <row r="25" spans="1:17" s="676" customFormat="1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s="676" customFormat="1" ht="16.5" thickBot="1" x14ac:dyDescent="0.3">
      <c r="A26" s="527" t="s">
        <v>350</v>
      </c>
      <c r="B26" s="527" t="s">
        <v>351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676" customFormat="1" x14ac:dyDescent="0.2">
      <c r="A27" s="837"/>
      <c r="B27" s="838" t="s">
        <v>351</v>
      </c>
      <c r="C27" s="839">
        <v>76</v>
      </c>
      <c r="D27" s="840" t="s">
        <v>1026</v>
      </c>
      <c r="E27" s="841">
        <v>0</v>
      </c>
      <c r="F27" s="842">
        <f t="shared" ref="F27:F33" si="3">C27*E27</f>
        <v>0</v>
      </c>
      <c r="G27" s="849"/>
      <c r="H27" s="844">
        <v>0</v>
      </c>
      <c r="I27" s="842">
        <f t="shared" ref="I27:I33" si="4">G27*H27</f>
        <v>0</v>
      </c>
      <c r="J27" s="845"/>
      <c r="K27" s="850">
        <f t="shared" ref="K27:K33" si="5">F27+I27+J27</f>
        <v>0</v>
      </c>
      <c r="L27" s="380" t="s">
        <v>1029</v>
      </c>
      <c r="M27" s="471">
        <v>2016</v>
      </c>
      <c r="N27" s="157"/>
      <c r="O27" s="383"/>
      <c r="P27" s="384"/>
      <c r="Q27" s="385"/>
    </row>
    <row r="28" spans="1:17" s="676" customFormat="1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L28" s="380" t="s">
        <v>1029</v>
      </c>
      <c r="M28" s="278">
        <v>141</v>
      </c>
      <c r="N28" s="157" t="s">
        <v>1032</v>
      </c>
      <c r="O28" s="383"/>
      <c r="P28" s="384"/>
      <c r="Q28" s="385"/>
    </row>
    <row r="29" spans="1:17" s="676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>
        <f>M28/3</f>
        <v>47</v>
      </c>
      <c r="N29" s="382"/>
      <c r="O29" s="383"/>
      <c r="P29" s="384"/>
      <c r="Q29" s="385"/>
    </row>
    <row r="30" spans="1:17" s="676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676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676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540"/>
      <c r="M32" s="257"/>
      <c r="N32" s="423"/>
      <c r="O32" s="383"/>
      <c r="P32" s="384"/>
      <c r="Q32" s="385"/>
    </row>
    <row r="33" spans="1:17" s="676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157"/>
      <c r="M33" s="471"/>
      <c r="N33" s="157"/>
      <c r="O33" s="383"/>
      <c r="P33" s="384"/>
      <c r="Q33" s="385"/>
    </row>
    <row r="34" spans="1:17" s="676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17" s="676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676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676" customFormat="1" ht="16.5" thickBot="1" x14ac:dyDescent="0.3">
      <c r="A37" s="527" t="s">
        <v>352</v>
      </c>
      <c r="B37" s="527" t="s">
        <v>353</v>
      </c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676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17" s="676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L39" s="380"/>
      <c r="M39" s="381"/>
      <c r="N39" s="382"/>
      <c r="O39" s="412"/>
      <c r="P39" s="413"/>
      <c r="Q39" s="385"/>
    </row>
    <row r="40" spans="1:17" s="676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381"/>
      <c r="N40" s="382"/>
      <c r="O40" s="412"/>
      <c r="P40" s="413"/>
      <c r="Q40" s="385"/>
    </row>
    <row r="41" spans="1:17" s="676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17" s="676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L42" s="159"/>
      <c r="M42" s="278"/>
      <c r="N42" s="157"/>
      <c r="O42" s="412"/>
      <c r="P42" s="413"/>
      <c r="Q42" s="385"/>
    </row>
    <row r="43" spans="1:17" s="676" customFormat="1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L43" s="159"/>
      <c r="M43" s="278"/>
      <c r="N43" s="157"/>
      <c r="O43" s="383"/>
      <c r="P43" s="384"/>
      <c r="Q43" s="385"/>
    </row>
    <row r="44" spans="1:17" s="676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17" s="676" customFormat="1" ht="16.5" thickBot="1" x14ac:dyDescent="0.3">
      <c r="A45" s="527" t="s">
        <v>354</v>
      </c>
      <c r="B45" s="527" t="s">
        <v>356</v>
      </c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17" s="676" customFormat="1" x14ac:dyDescent="0.2">
      <c r="A46" s="407"/>
      <c r="B46" s="408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17" s="676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380"/>
      <c r="M47" s="257"/>
      <c r="N47" s="423"/>
      <c r="O47" s="383"/>
      <c r="P47" s="384"/>
      <c r="Q47" s="385"/>
    </row>
    <row r="48" spans="1:17" s="676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663"/>
      <c r="M48" s="664"/>
      <c r="N48" s="665"/>
      <c r="O48" s="383"/>
      <c r="P48" s="384"/>
      <c r="Q48" s="385"/>
    </row>
    <row r="49" spans="1:17" s="676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676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676" customFormat="1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s="676" customFormat="1" ht="13.5" thickTop="1" x14ac:dyDescent="0.2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157"/>
      <c r="M52" s="471"/>
      <c r="N52" s="157"/>
      <c r="O52" s="438"/>
      <c r="P52" s="439"/>
      <c r="Q52" s="385"/>
    </row>
    <row r="53" spans="1:17" s="676" customFormat="1" ht="13.5" thickBot="1" x14ac:dyDescent="0.25">
      <c r="A53" s="355" t="s">
        <v>0</v>
      </c>
      <c r="B53" s="356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357"/>
      <c r="K53" s="525"/>
      <c r="L53" s="393"/>
      <c r="M53" s="357"/>
      <c r="N53" s="395"/>
      <c r="O53" s="438"/>
      <c r="P53" s="439"/>
      <c r="Q53" s="385"/>
    </row>
    <row r="54" spans="1:17" s="676" customFormat="1" ht="16.5" thickBot="1" x14ac:dyDescent="0.3">
      <c r="A54" s="527" t="s">
        <v>355</v>
      </c>
      <c r="B54" s="527" t="s">
        <v>357</v>
      </c>
      <c r="C54" s="398" t="s">
        <v>19</v>
      </c>
      <c r="D54" s="399" t="s">
        <v>33</v>
      </c>
      <c r="E54" s="400" t="s">
        <v>35</v>
      </c>
      <c r="F54" s="401" t="s">
        <v>30</v>
      </c>
      <c r="G54" s="535" t="s">
        <v>14</v>
      </c>
      <c r="H54" s="400" t="s">
        <v>35</v>
      </c>
      <c r="I54" s="401" t="s">
        <v>30</v>
      </c>
      <c r="J54" s="366" t="s">
        <v>659</v>
      </c>
      <c r="K54" s="536" t="s">
        <v>38</v>
      </c>
      <c r="L54" s="404"/>
      <c r="M54" s="410"/>
      <c r="N54" s="406"/>
      <c r="O54" s="412"/>
      <c r="P54" s="413"/>
      <c r="Q54" s="385"/>
    </row>
    <row r="55" spans="1:17" s="676" customFormat="1" x14ac:dyDescent="0.2">
      <c r="A55" s="407"/>
      <c r="B55" s="408"/>
      <c r="C55" s="373"/>
      <c r="D55" s="374" t="s">
        <v>21</v>
      </c>
      <c r="E55" s="255">
        <v>0</v>
      </c>
      <c r="F55" s="375">
        <f t="shared" ref="F55:F61" si="6">C55*E55</f>
        <v>0</v>
      </c>
      <c r="G55" s="531"/>
      <c r="H55" s="377">
        <v>0</v>
      </c>
      <c r="I55" s="375">
        <f t="shared" ref="I55:I61" si="7">G55*H55</f>
        <v>0</v>
      </c>
      <c r="J55" s="378"/>
      <c r="K55" s="532">
        <f t="shared" ref="K55:K61" si="8">F55+I55+J55</f>
        <v>0</v>
      </c>
      <c r="L55" s="159"/>
      <c r="M55" s="278"/>
      <c r="N55" s="157"/>
      <c r="O55" s="383"/>
      <c r="P55" s="384"/>
      <c r="Q55" s="385"/>
    </row>
    <row r="56" spans="1:17" s="676" customFormat="1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L56" s="380"/>
      <c r="M56" s="257"/>
      <c r="N56" s="382"/>
      <c r="O56" s="383"/>
      <c r="P56" s="384"/>
      <c r="Q56" s="385"/>
    </row>
    <row r="57" spans="1:17" s="676" customFormat="1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L57" s="380"/>
      <c r="M57" s="257"/>
      <c r="N57" s="382"/>
      <c r="O57" s="383"/>
      <c r="P57" s="384"/>
      <c r="Q57" s="385"/>
    </row>
    <row r="58" spans="1:17" s="676" customFormat="1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s="676" customFormat="1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663"/>
      <c r="M59" s="257"/>
      <c r="N59" s="665"/>
      <c r="O59" s="383"/>
      <c r="P59" s="384"/>
      <c r="Q59" s="385"/>
    </row>
    <row r="60" spans="1:17" s="676" customFormat="1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666"/>
      <c r="M60" s="257"/>
      <c r="N60" s="667"/>
      <c r="O60" s="383"/>
      <c r="P60" s="384"/>
      <c r="Q60" s="385"/>
    </row>
    <row r="61" spans="1:17" s="676" customFormat="1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257"/>
      <c r="N61" s="423"/>
      <c r="O61" s="383"/>
      <c r="P61" s="384"/>
      <c r="Q61" s="385"/>
    </row>
    <row r="62" spans="1:17" s="676" customFormat="1" ht="13.5" thickBot="1" x14ac:dyDescent="0.25">
      <c r="A62" s="389"/>
      <c r="B62" s="5"/>
      <c r="C62" s="390"/>
      <c r="D62" s="374"/>
      <c r="E62" s="255"/>
      <c r="F62" s="375"/>
      <c r="G62" s="531"/>
      <c r="H62" s="377"/>
      <c r="I62" s="375"/>
      <c r="J62" s="378"/>
      <c r="K62" s="537"/>
      <c r="L62" s="159"/>
      <c r="M62" s="278"/>
      <c r="N62" s="157"/>
      <c r="O62" s="383"/>
      <c r="P62" s="384"/>
      <c r="Q62" s="385"/>
    </row>
    <row r="63" spans="1:17" s="676" customFormat="1" ht="13.5" thickTop="1" x14ac:dyDescent="0.2">
      <c r="A63" s="389"/>
      <c r="B63" s="414"/>
      <c r="C63" s="390"/>
      <c r="D63" s="374"/>
      <c r="E63" s="255"/>
      <c r="F63" s="375"/>
      <c r="G63" s="531"/>
      <c r="H63" s="377"/>
      <c r="I63" s="375"/>
      <c r="J63" s="391" t="s">
        <v>30</v>
      </c>
      <c r="K63" s="534">
        <f>SUM(K55:K62)</f>
        <v>0</v>
      </c>
      <c r="L63" s="159"/>
      <c r="M63" s="278"/>
      <c r="N63" s="157"/>
      <c r="O63" s="383"/>
      <c r="P63" s="384"/>
      <c r="Q63" s="385"/>
    </row>
    <row r="64" spans="1:17" s="676" customFormat="1" ht="13.5" thickBot="1" x14ac:dyDescent="0.25">
      <c r="A64" s="355" t="s">
        <v>0</v>
      </c>
      <c r="B64" s="356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357"/>
      <c r="K64" s="525"/>
      <c r="L64" s="393"/>
      <c r="M64" s="357"/>
      <c r="N64" s="440"/>
      <c r="O64" s="383"/>
      <c r="P64" s="384"/>
      <c r="Q64" s="385"/>
    </row>
    <row r="65" spans="1:17" s="676" customFormat="1" ht="16.5" thickBot="1" x14ac:dyDescent="0.3">
      <c r="A65" s="527" t="s">
        <v>359</v>
      </c>
      <c r="B65" s="527" t="s">
        <v>358</v>
      </c>
      <c r="C65" s="398" t="s">
        <v>19</v>
      </c>
      <c r="D65" s="399" t="s">
        <v>33</v>
      </c>
      <c r="E65" s="400" t="s">
        <v>35</v>
      </c>
      <c r="F65" s="401" t="s">
        <v>30</v>
      </c>
      <c r="G65" s="535" t="s">
        <v>14</v>
      </c>
      <c r="H65" s="400" t="s">
        <v>35</v>
      </c>
      <c r="I65" s="401" t="s">
        <v>30</v>
      </c>
      <c r="J65" s="366" t="s">
        <v>659</v>
      </c>
      <c r="K65" s="536" t="s">
        <v>38</v>
      </c>
      <c r="L65" s="404"/>
      <c r="M65" s="410"/>
      <c r="N65" s="411"/>
      <c r="O65" s="383"/>
      <c r="P65" s="384"/>
      <c r="Q65" s="385"/>
    </row>
    <row r="66" spans="1:17" s="676" customFormat="1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s="676" customFormat="1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s="676" customFormat="1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L68" s="380"/>
      <c r="M68" s="381"/>
      <c r="N68" s="382"/>
      <c r="O68" s="383"/>
      <c r="P68" s="384"/>
      <c r="Q68" s="385"/>
    </row>
    <row r="69" spans="1:17" s="676" customFormat="1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L69" s="159"/>
      <c r="M69" s="278"/>
      <c r="N69" s="157"/>
      <c r="O69" s="383"/>
      <c r="P69" s="384"/>
      <c r="Q69" s="385"/>
    </row>
    <row r="70" spans="1:17" s="676" customFormat="1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L70" s="159"/>
      <c r="M70" s="278"/>
      <c r="N70" s="157"/>
      <c r="O70" s="383"/>
      <c r="P70" s="384"/>
      <c r="Q70" s="385"/>
    </row>
    <row r="71" spans="1:17" s="676" customFormat="1" ht="13.5" thickBot="1" x14ac:dyDescent="0.25">
      <c r="A71" s="389"/>
      <c r="B71" s="5"/>
      <c r="C71" s="390"/>
      <c r="D71" s="374"/>
      <c r="E71" s="255"/>
      <c r="F71" s="375"/>
      <c r="G71" s="531"/>
      <c r="H71" s="377"/>
      <c r="I71" s="375"/>
      <c r="J71" s="378"/>
      <c r="K71" s="537"/>
      <c r="L71" s="159"/>
      <c r="M71" s="278"/>
      <c r="N71" s="157"/>
      <c r="O71" s="383"/>
      <c r="P71" s="384"/>
      <c r="Q71" s="385"/>
    </row>
    <row r="72" spans="1:17" s="676" customFormat="1" ht="13.5" thickTop="1" x14ac:dyDescent="0.2">
      <c r="A72" s="389"/>
      <c r="B72" s="414"/>
      <c r="C72" s="390"/>
      <c r="D72" s="374"/>
      <c r="E72" s="255"/>
      <c r="F72" s="375"/>
      <c r="G72" s="531"/>
      <c r="H72" s="377"/>
      <c r="I72" s="375"/>
      <c r="J72" s="391" t="s">
        <v>30</v>
      </c>
      <c r="K72" s="534">
        <f>SUM(K66:K71)</f>
        <v>0</v>
      </c>
      <c r="L72" s="159"/>
      <c r="M72" s="278"/>
      <c r="N72" s="157"/>
      <c r="O72" s="383"/>
      <c r="P72" s="384"/>
      <c r="Q72" s="385"/>
    </row>
    <row r="73" spans="1:17" s="676" customFormat="1" ht="13.5" thickBot="1" x14ac:dyDescent="0.25">
      <c r="A73" s="355" t="s">
        <v>0</v>
      </c>
      <c r="B73" s="356" t="s">
        <v>1</v>
      </c>
      <c r="C73" s="948" t="s">
        <v>656</v>
      </c>
      <c r="D73" s="948"/>
      <c r="E73" s="948"/>
      <c r="F73" s="948"/>
      <c r="G73" s="948" t="s">
        <v>34</v>
      </c>
      <c r="H73" s="948"/>
      <c r="I73" s="948"/>
      <c r="J73" s="357"/>
      <c r="K73" s="525"/>
      <c r="L73" s="393"/>
      <c r="M73" s="394"/>
      <c r="N73" s="395"/>
      <c r="O73" s="383"/>
      <c r="P73" s="384"/>
      <c r="Q73" s="385"/>
    </row>
    <row r="74" spans="1:17" s="676" customFormat="1" ht="16.5" thickBot="1" x14ac:dyDescent="0.3">
      <c r="A74" s="396"/>
      <c r="B74" s="397"/>
      <c r="C74" s="398" t="s">
        <v>19</v>
      </c>
      <c r="D74" s="399" t="s">
        <v>33</v>
      </c>
      <c r="E74" s="400" t="s">
        <v>35</v>
      </c>
      <c r="F74" s="401" t="s">
        <v>30</v>
      </c>
      <c r="G74" s="535" t="s">
        <v>14</v>
      </c>
      <c r="H74" s="400" t="s">
        <v>35</v>
      </c>
      <c r="I74" s="401" t="s">
        <v>30</v>
      </c>
      <c r="J74" s="366" t="s">
        <v>659</v>
      </c>
      <c r="K74" s="536" t="s">
        <v>38</v>
      </c>
      <c r="L74" s="404"/>
      <c r="M74" s="405"/>
      <c r="N74" s="406"/>
      <c r="O74" s="383"/>
      <c r="P74" s="384"/>
      <c r="Q74" s="385"/>
    </row>
    <row r="75" spans="1:17" s="676" customFormat="1" x14ac:dyDescent="0.2">
      <c r="A75" s="407"/>
      <c r="B75" s="408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L75" s="380"/>
      <c r="M75" s="381"/>
      <c r="N75" s="382"/>
      <c r="O75" s="383"/>
      <c r="P75" s="384"/>
      <c r="Q75" s="385"/>
    </row>
    <row r="76" spans="1:17" s="676" customFormat="1" x14ac:dyDescent="0.2">
      <c r="A76" s="372"/>
      <c r="B76" s="5"/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L76" s="663"/>
      <c r="M76" s="664"/>
      <c r="N76" s="665"/>
      <c r="O76" s="383"/>
      <c r="P76" s="384"/>
      <c r="Q76" s="385"/>
    </row>
    <row r="77" spans="1:17" s="676" customFormat="1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s="159" customFormat="1" ht="13.5" thickTop="1" x14ac:dyDescent="0.2">
      <c r="A79" s="389"/>
      <c r="B79" s="157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SUM(K75:K78)</f>
        <v>0</v>
      </c>
      <c r="L79" s="380"/>
      <c r="M79" s="381"/>
      <c r="N79" s="382"/>
      <c r="O79" s="383"/>
      <c r="P79" s="384"/>
      <c r="Q79" s="385"/>
    </row>
    <row r="80" spans="1:17" s="159" customFormat="1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s="159" customFormat="1" ht="16.5" thickBot="1" x14ac:dyDescent="0.3">
      <c r="A81" s="396"/>
      <c r="B81" s="397"/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s="159" customFormat="1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x14ac:dyDescent="0.2">
      <c r="A84" s="372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M84" s="278"/>
      <c r="N84" s="157"/>
      <c r="O84" s="383"/>
      <c r="P84" s="384"/>
      <c r="Q84" s="385"/>
    </row>
    <row r="85" spans="1:17" s="159" customFormat="1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L85" s="380"/>
      <c r="M85" s="381"/>
      <c r="N85" s="382"/>
      <c r="O85" s="383"/>
      <c r="P85" s="384"/>
      <c r="Q85" s="385"/>
    </row>
    <row r="86" spans="1:17" s="159" customFormat="1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L86" s="380"/>
      <c r="M86" s="381"/>
      <c r="N86" s="382"/>
      <c r="O86" s="383"/>
      <c r="P86" s="384"/>
      <c r="Q86" s="385"/>
    </row>
    <row r="87" spans="1:17" s="159" customFormat="1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L87" s="380"/>
      <c r="M87" s="381"/>
      <c r="N87" s="382"/>
      <c r="O87" s="383"/>
      <c r="P87" s="384"/>
      <c r="Q87" s="385"/>
    </row>
    <row r="88" spans="1:17" s="159" customFormat="1" ht="13.5" thickTop="1" x14ac:dyDescent="0.2">
      <c r="A88" s="389"/>
      <c r="B88" s="414"/>
      <c r="C88" s="390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M88" s="278"/>
      <c r="N88" s="157"/>
      <c r="O88" s="383"/>
      <c r="P88" s="384"/>
      <c r="Q88" s="385"/>
    </row>
    <row r="89" spans="1:17" s="159" customFormat="1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s="159" customFormat="1" ht="16.5" thickBot="1" x14ac:dyDescent="0.3">
      <c r="A90" s="396"/>
      <c r="B90" s="397"/>
      <c r="C90" s="398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s="159" customFormat="1" x14ac:dyDescent="0.2">
      <c r="A91" s="407"/>
      <c r="B91" s="408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380"/>
      <c r="M91" s="381"/>
      <c r="N91" s="382"/>
      <c r="O91" s="383"/>
      <c r="P91" s="384"/>
      <c r="Q91" s="385"/>
    </row>
    <row r="92" spans="1:17" s="159" customFormat="1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669"/>
      <c r="M92" s="670"/>
      <c r="N92" s="671"/>
      <c r="O92" s="383"/>
      <c r="P92" s="384"/>
      <c r="Q92" s="385"/>
    </row>
    <row r="93" spans="1:17" s="159" customFormat="1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669"/>
      <c r="M93" s="670"/>
      <c r="N93" s="672"/>
      <c r="O93" s="383"/>
      <c r="P93" s="384"/>
      <c r="Q93" s="385"/>
    </row>
    <row r="94" spans="1:17" s="159" customFormat="1" x14ac:dyDescent="0.2">
      <c r="A94" s="372"/>
      <c r="B94" s="5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s="159" customFormat="1" ht="13.5" thickBot="1" x14ac:dyDescent="0.25">
      <c r="A95" s="389"/>
      <c r="B95" s="414"/>
      <c r="C95" s="373"/>
      <c r="D95" s="374"/>
      <c r="E95" s="255"/>
      <c r="F95" s="375"/>
      <c r="G95" s="531"/>
      <c r="H95" s="377"/>
      <c r="I95" s="375"/>
      <c r="J95" s="378"/>
      <c r="K95" s="532"/>
      <c r="L95" s="669"/>
      <c r="M95" s="670"/>
      <c r="N95" s="672"/>
      <c r="O95" s="383"/>
      <c r="P95" s="384"/>
      <c r="Q95" s="385"/>
    </row>
    <row r="96" spans="1:17" s="159" customFormat="1" ht="14.25" thickTop="1" thickBot="1" x14ac:dyDescent="0.25">
      <c r="A96" s="472"/>
      <c r="B96" s="156"/>
      <c r="C96" s="473"/>
      <c r="D96" s="474"/>
      <c r="E96" s="475"/>
      <c r="F96" s="476"/>
      <c r="G96" s="636"/>
      <c r="H96" s="475"/>
      <c r="I96" s="476"/>
      <c r="J96" s="478" t="s">
        <v>30</v>
      </c>
      <c r="K96" s="637">
        <f>SUM(K91:K95)</f>
        <v>0</v>
      </c>
      <c r="L96" s="669"/>
      <c r="M96" s="670"/>
      <c r="N96" s="672"/>
      <c r="O96" s="383"/>
      <c r="P96" s="384"/>
      <c r="Q96" s="385"/>
    </row>
    <row r="97" spans="1:17" s="159" customFormat="1" ht="14.1" customHeight="1" thickBot="1" x14ac:dyDescent="0.3">
      <c r="A97" s="480"/>
      <c r="B97" s="481"/>
      <c r="C97" s="482"/>
      <c r="D97" s="482"/>
      <c r="E97" s="483"/>
      <c r="F97" s="978" t="s">
        <v>658</v>
      </c>
      <c r="G97" s="1001" t="s">
        <v>682</v>
      </c>
      <c r="H97" s="483"/>
      <c r="I97" s="971" t="s">
        <v>657</v>
      </c>
      <c r="J97" s="967" t="s">
        <v>683</v>
      </c>
      <c r="K97" s="965" t="s">
        <v>31</v>
      </c>
      <c r="L97" s="673"/>
      <c r="M97" s="674"/>
      <c r="N97" s="675"/>
      <c r="O97" s="462"/>
      <c r="P97" s="463"/>
      <c r="Q97" s="464"/>
    </row>
    <row r="98" spans="1:17" s="159" customFormat="1" ht="15.75" thickTop="1" x14ac:dyDescent="0.2">
      <c r="A98" s="484" t="s">
        <v>32</v>
      </c>
      <c r="B98" s="973" t="s">
        <v>664</v>
      </c>
      <c r="C98" s="485"/>
      <c r="D98" s="486"/>
      <c r="E98" s="486"/>
      <c r="F98" s="979"/>
      <c r="G98" s="1002"/>
      <c r="H98" s="487"/>
      <c r="I98" s="972"/>
      <c r="J98" s="968"/>
      <c r="K98" s="966"/>
      <c r="M98" s="278"/>
      <c r="N98" s="157"/>
      <c r="O98" s="304"/>
      <c r="P98" s="304"/>
    </row>
    <row r="99" spans="1:17" s="159" customFormat="1" ht="15" x14ac:dyDescent="0.25">
      <c r="A99" s="828">
        <f>K99/E6</f>
        <v>0</v>
      </c>
      <c r="B99" s="973"/>
      <c r="C99" s="486"/>
      <c r="D99" s="486"/>
      <c r="E99" s="486"/>
      <c r="F99" s="961">
        <f>SUM(F91:F95,F82:F87,F75:F78,F66:F71,F55:F61,F46:F51,F38:F42,F27:F34,F11:F23)</f>
        <v>0</v>
      </c>
      <c r="G99" s="1006">
        <f>SUM(G91:G95,G82:G87,G75:G78,G66:G71,G55:G61,G46:G51,G38:G42,G27:G34,G11:G23)</f>
        <v>0</v>
      </c>
      <c r="H99" s="487"/>
      <c r="I99" s="961">
        <f>SUM(I91:I95,I82:I87,I75:I78,I66:I71,I55:I61,I46:I51,I38:I42,I27:I34,I11:I23)</f>
        <v>0</v>
      </c>
      <c r="J99" s="961">
        <f>SUM(J91:J95,J82:J87,J75:J78,J66:J71,J55:J61,J46:J51,J38:J42,J27:J34,J11:J23)</f>
        <v>0</v>
      </c>
      <c r="K99" s="963">
        <f>SUM(K96,K88,K79,K72,K63,K52,K43,K35,K24)</f>
        <v>0</v>
      </c>
      <c r="M99" s="278"/>
      <c r="N99" s="157"/>
      <c r="O99" s="304"/>
      <c r="P99" s="304"/>
    </row>
    <row r="100" spans="1:17" s="159" customFormat="1" ht="15" thickBot="1" x14ac:dyDescent="0.25">
      <c r="A100" s="484"/>
      <c r="B100" s="552"/>
      <c r="C100" s="490"/>
      <c r="D100" s="490"/>
      <c r="E100" s="490"/>
      <c r="F100" s="962"/>
      <c r="G100" s="1007"/>
      <c r="H100" s="490"/>
      <c r="I100" s="962"/>
      <c r="J100" s="962"/>
      <c r="K100" s="964"/>
      <c r="M100" s="278"/>
      <c r="N100" s="157"/>
      <c r="O100" s="304"/>
      <c r="P100" s="304"/>
    </row>
    <row r="101" spans="1:17" s="159" customFormat="1" ht="13.5" thickBot="1" x14ac:dyDescent="0.25">
      <c r="A101" s="491"/>
      <c r="B101" s="492"/>
      <c r="C101" s="492"/>
      <c r="D101" s="492"/>
      <c r="E101" s="492"/>
      <c r="F101" s="492"/>
      <c r="G101" s="492"/>
      <c r="H101" s="492"/>
      <c r="I101" s="492"/>
      <c r="J101" s="492"/>
      <c r="K101" s="493"/>
      <c r="M101" s="278"/>
      <c r="N101" s="157"/>
      <c r="O101" s="304"/>
      <c r="P101" s="304"/>
    </row>
    <row r="102" spans="1:17" s="159" customFormat="1" x14ac:dyDescent="0.2">
      <c r="C102" s="657"/>
      <c r="D102" s="657"/>
      <c r="M102" s="278"/>
      <c r="N102" s="157"/>
      <c r="O102" s="304"/>
      <c r="P102" s="304"/>
    </row>
    <row r="103" spans="1:17" s="159" customFormat="1" x14ac:dyDescent="0.2">
      <c r="C103" s="657"/>
      <c r="D103" s="657"/>
      <c r="M103" s="278"/>
      <c r="N103" s="157"/>
      <c r="O103" s="304"/>
      <c r="P103" s="304"/>
    </row>
    <row r="104" spans="1:17" s="159" customFormat="1" x14ac:dyDescent="0.2">
      <c r="C104" s="657"/>
      <c r="D104" s="657"/>
      <c r="M104" s="278"/>
      <c r="N104" s="157"/>
      <c r="O104" s="304"/>
      <c r="P104" s="304"/>
    </row>
    <row r="105" spans="1:17" s="159" customFormat="1" x14ac:dyDescent="0.2">
      <c r="C105" s="657"/>
      <c r="D105" s="657"/>
      <c r="M105" s="278"/>
      <c r="N105" s="157"/>
      <c r="O105" s="304"/>
      <c r="P105" s="304"/>
    </row>
    <row r="106" spans="1:17" s="159" customFormat="1" x14ac:dyDescent="0.2">
      <c r="C106" s="657"/>
      <c r="D106" s="657"/>
      <c r="M106" s="278"/>
      <c r="N106" s="157"/>
      <c r="O106" s="304"/>
      <c r="P106" s="304"/>
    </row>
    <row r="107" spans="1:17" s="159" customFormat="1" x14ac:dyDescent="0.2">
      <c r="C107" s="657"/>
      <c r="D107" s="657"/>
      <c r="M107" s="278"/>
      <c r="N107" s="157"/>
      <c r="O107" s="304"/>
      <c r="P107" s="304"/>
    </row>
    <row r="108" spans="1:17" s="159" customFormat="1" x14ac:dyDescent="0.2">
      <c r="C108" s="657"/>
      <c r="D108" s="657"/>
      <c r="M108" s="278"/>
      <c r="N108" s="157"/>
      <c r="O108" s="304"/>
      <c r="P108" s="304"/>
    </row>
    <row r="109" spans="1:17" s="159" customFormat="1" x14ac:dyDescent="0.2">
      <c r="C109" s="657"/>
      <c r="D109" s="657"/>
      <c r="M109" s="278"/>
      <c r="N109" s="157"/>
      <c r="O109" s="304"/>
      <c r="P109" s="304"/>
    </row>
    <row r="110" spans="1:17" s="159" customFormat="1" x14ac:dyDescent="0.2">
      <c r="C110" s="657"/>
      <c r="D110" s="657"/>
      <c r="M110" s="278"/>
      <c r="N110" s="157"/>
      <c r="O110" s="304"/>
      <c r="P110" s="304"/>
    </row>
    <row r="111" spans="1:17" s="159" customFormat="1" x14ac:dyDescent="0.2">
      <c r="C111" s="657"/>
      <c r="D111" s="657"/>
      <c r="M111" s="278"/>
      <c r="N111" s="157"/>
      <c r="O111" s="304"/>
      <c r="P111" s="304"/>
    </row>
    <row r="112" spans="1:17" s="159" customFormat="1" x14ac:dyDescent="0.2">
      <c r="C112" s="657"/>
      <c r="D112" s="657"/>
      <c r="M112" s="278"/>
      <c r="N112" s="157"/>
      <c r="O112" s="304"/>
      <c r="P112" s="304"/>
    </row>
    <row r="113" spans="3:16" s="159" customFormat="1" x14ac:dyDescent="0.2">
      <c r="C113" s="657"/>
      <c r="D113" s="657"/>
      <c r="M113" s="278"/>
      <c r="N113" s="157"/>
      <c r="O113" s="304"/>
      <c r="P113" s="304"/>
    </row>
    <row r="114" spans="3:16" s="159" customFormat="1" x14ac:dyDescent="0.2">
      <c r="C114" s="657"/>
      <c r="D114" s="657"/>
      <c r="M114" s="278"/>
      <c r="N114" s="157"/>
      <c r="O114" s="304"/>
      <c r="P114" s="304"/>
    </row>
    <row r="115" spans="3:16" s="159" customFormat="1" x14ac:dyDescent="0.2">
      <c r="C115" s="657"/>
      <c r="D115" s="657"/>
      <c r="M115" s="278"/>
      <c r="N115" s="157"/>
      <c r="O115" s="304"/>
      <c r="P115" s="304"/>
    </row>
    <row r="116" spans="3:16" s="159" customFormat="1" x14ac:dyDescent="0.2">
      <c r="C116" s="657"/>
      <c r="D116" s="657"/>
      <c r="M116" s="278"/>
      <c r="N116" s="157"/>
      <c r="O116" s="304"/>
      <c r="P116" s="304"/>
    </row>
    <row r="117" spans="3:16" s="159" customFormat="1" x14ac:dyDescent="0.2">
      <c r="C117" s="657"/>
      <c r="D117" s="657"/>
      <c r="M117" s="278"/>
      <c r="N117" s="157"/>
      <c r="O117" s="304"/>
      <c r="P117" s="304"/>
    </row>
    <row r="118" spans="3:16" s="159" customFormat="1" x14ac:dyDescent="0.2">
      <c r="C118" s="657"/>
      <c r="D118" s="657"/>
      <c r="M118" s="278"/>
      <c r="N118" s="157"/>
      <c r="O118" s="304"/>
      <c r="P118" s="304"/>
    </row>
    <row r="119" spans="3:16" s="159" customFormat="1" x14ac:dyDescent="0.2">
      <c r="C119" s="657"/>
      <c r="D119" s="657"/>
      <c r="M119" s="278"/>
      <c r="N119" s="157"/>
      <c r="O119" s="304"/>
      <c r="P119" s="304"/>
    </row>
    <row r="120" spans="3:16" s="159" customFormat="1" x14ac:dyDescent="0.2">
      <c r="C120" s="657"/>
      <c r="D120" s="657"/>
      <c r="M120" s="278"/>
      <c r="N120" s="157"/>
      <c r="O120" s="304"/>
      <c r="P120" s="304"/>
    </row>
    <row r="121" spans="3:16" s="159" customFormat="1" x14ac:dyDescent="0.2">
      <c r="C121" s="657"/>
      <c r="D121" s="657"/>
      <c r="M121" s="278"/>
      <c r="N121" s="157"/>
      <c r="O121" s="304"/>
      <c r="P121" s="304"/>
    </row>
    <row r="122" spans="3:16" s="159" customFormat="1" x14ac:dyDescent="0.2">
      <c r="C122" s="657"/>
      <c r="D122" s="657"/>
      <c r="M122" s="278"/>
      <c r="N122" s="157"/>
      <c r="O122" s="304"/>
      <c r="P122" s="304"/>
    </row>
    <row r="123" spans="3:16" s="159" customFormat="1" x14ac:dyDescent="0.2">
      <c r="C123" s="657"/>
      <c r="D123" s="657"/>
      <c r="M123" s="278"/>
      <c r="N123" s="157"/>
      <c r="O123" s="304"/>
      <c r="P123" s="304"/>
    </row>
    <row r="124" spans="3:16" s="159" customFormat="1" x14ac:dyDescent="0.2">
      <c r="C124" s="657"/>
      <c r="D124" s="657"/>
      <c r="M124" s="278"/>
      <c r="N124" s="157"/>
      <c r="O124" s="304"/>
      <c r="P124" s="304"/>
    </row>
    <row r="125" spans="3:16" s="159" customFormat="1" x14ac:dyDescent="0.2">
      <c r="C125" s="657"/>
      <c r="D125" s="657"/>
      <c r="M125" s="278"/>
      <c r="N125" s="157"/>
      <c r="O125" s="304"/>
      <c r="P125" s="304"/>
    </row>
    <row r="126" spans="3:16" s="159" customFormat="1" x14ac:dyDescent="0.2">
      <c r="C126" s="657"/>
      <c r="D126" s="657"/>
      <c r="M126" s="278"/>
      <c r="N126" s="157"/>
      <c r="O126" s="304"/>
      <c r="P126" s="304"/>
    </row>
    <row r="127" spans="3:16" s="159" customFormat="1" x14ac:dyDescent="0.2">
      <c r="C127" s="657"/>
      <c r="D127" s="657"/>
      <c r="M127" s="278"/>
      <c r="N127" s="157"/>
      <c r="O127" s="304"/>
      <c r="P127" s="304"/>
    </row>
    <row r="128" spans="3:16" s="159" customFormat="1" x14ac:dyDescent="0.2">
      <c r="C128" s="657"/>
      <c r="D128" s="657"/>
      <c r="M128" s="278"/>
      <c r="N128" s="157"/>
      <c r="O128" s="304"/>
      <c r="P128" s="304"/>
    </row>
    <row r="129" spans="3:16" s="159" customFormat="1" x14ac:dyDescent="0.2">
      <c r="C129" s="657"/>
      <c r="D129" s="657"/>
      <c r="M129" s="278"/>
      <c r="N129" s="157"/>
      <c r="O129" s="304"/>
      <c r="P129" s="304"/>
    </row>
    <row r="130" spans="3:16" s="159" customFormat="1" x14ac:dyDescent="0.2">
      <c r="C130" s="657"/>
      <c r="D130" s="657"/>
      <c r="M130" s="278"/>
      <c r="N130" s="157"/>
      <c r="O130" s="304"/>
      <c r="P130" s="304"/>
    </row>
    <row r="131" spans="3:16" s="159" customFormat="1" x14ac:dyDescent="0.2">
      <c r="C131" s="657"/>
      <c r="D131" s="657"/>
      <c r="M131" s="278"/>
      <c r="N131" s="157"/>
      <c r="O131" s="304"/>
      <c r="P131" s="304"/>
    </row>
    <row r="132" spans="3:16" s="159" customFormat="1" x14ac:dyDescent="0.2">
      <c r="C132" s="657"/>
      <c r="D132" s="657"/>
      <c r="M132" s="278"/>
      <c r="N132" s="157"/>
      <c r="O132" s="304"/>
      <c r="P132" s="304"/>
    </row>
    <row r="133" spans="3:16" s="159" customFormat="1" x14ac:dyDescent="0.2">
      <c r="C133" s="657"/>
      <c r="D133" s="657"/>
      <c r="M133" s="278"/>
      <c r="N133" s="157"/>
      <c r="O133" s="304"/>
      <c r="P133" s="304"/>
    </row>
    <row r="134" spans="3:16" s="159" customFormat="1" x14ac:dyDescent="0.2">
      <c r="C134" s="657"/>
      <c r="D134" s="657"/>
      <c r="M134" s="278"/>
      <c r="N134" s="157"/>
      <c r="O134" s="304"/>
      <c r="P134" s="304"/>
    </row>
    <row r="135" spans="3:16" s="159" customFormat="1" x14ac:dyDescent="0.2">
      <c r="C135" s="657"/>
      <c r="D135" s="657"/>
      <c r="M135" s="278"/>
      <c r="N135" s="157"/>
      <c r="O135" s="304"/>
      <c r="P135" s="304"/>
    </row>
    <row r="136" spans="3:16" s="159" customFormat="1" x14ac:dyDescent="0.2">
      <c r="C136" s="657"/>
      <c r="D136" s="657"/>
      <c r="M136" s="278"/>
      <c r="N136" s="157"/>
      <c r="O136" s="304"/>
      <c r="P136" s="304"/>
    </row>
    <row r="137" spans="3:16" s="159" customFormat="1" x14ac:dyDescent="0.2">
      <c r="C137" s="657"/>
      <c r="D137" s="657"/>
      <c r="M137" s="278"/>
      <c r="N137" s="157"/>
      <c r="O137" s="304"/>
      <c r="P137" s="304"/>
    </row>
    <row r="138" spans="3:16" s="159" customFormat="1" x14ac:dyDescent="0.2">
      <c r="C138" s="657"/>
      <c r="D138" s="657"/>
      <c r="M138" s="278"/>
      <c r="N138" s="157"/>
      <c r="O138" s="304"/>
      <c r="P138" s="304"/>
    </row>
    <row r="139" spans="3:16" s="159" customFormat="1" x14ac:dyDescent="0.2">
      <c r="C139" s="657"/>
      <c r="D139" s="657"/>
      <c r="M139" s="278"/>
      <c r="N139" s="157"/>
      <c r="O139" s="304"/>
      <c r="P139" s="304"/>
    </row>
    <row r="140" spans="3:16" s="159" customFormat="1" x14ac:dyDescent="0.2">
      <c r="C140" s="657"/>
      <c r="D140" s="657"/>
      <c r="M140" s="278"/>
      <c r="N140" s="157"/>
      <c r="O140" s="304"/>
      <c r="P140" s="304"/>
    </row>
    <row r="141" spans="3:16" s="159" customFormat="1" x14ac:dyDescent="0.2">
      <c r="C141" s="657"/>
      <c r="D141" s="657"/>
      <c r="M141" s="278"/>
      <c r="N141" s="157"/>
      <c r="O141" s="304"/>
      <c r="P141" s="304"/>
    </row>
    <row r="142" spans="3:16" s="159" customFormat="1" x14ac:dyDescent="0.2">
      <c r="C142" s="657"/>
      <c r="D142" s="657"/>
      <c r="M142" s="278"/>
      <c r="N142" s="157"/>
      <c r="O142" s="304"/>
      <c r="P142" s="304"/>
    </row>
    <row r="143" spans="3:16" s="159" customFormat="1" x14ac:dyDescent="0.2">
      <c r="C143" s="657"/>
      <c r="D143" s="657"/>
      <c r="M143" s="278"/>
      <c r="N143" s="157"/>
      <c r="O143" s="304"/>
      <c r="P143" s="304"/>
    </row>
    <row r="144" spans="3:16" s="159" customFormat="1" x14ac:dyDescent="0.2">
      <c r="C144" s="657"/>
      <c r="D144" s="657"/>
      <c r="M144" s="278"/>
      <c r="N144" s="157"/>
      <c r="O144" s="304"/>
      <c r="P144" s="304"/>
    </row>
    <row r="145" spans="3:16" s="159" customFormat="1" x14ac:dyDescent="0.2">
      <c r="C145" s="657"/>
      <c r="D145" s="657"/>
      <c r="M145" s="278"/>
      <c r="N145" s="157"/>
      <c r="O145" s="304"/>
      <c r="P145" s="304"/>
    </row>
    <row r="146" spans="3:16" s="159" customFormat="1" x14ac:dyDescent="0.2">
      <c r="C146" s="657"/>
      <c r="D146" s="657"/>
      <c r="M146" s="278"/>
      <c r="N146" s="157"/>
      <c r="O146" s="304"/>
      <c r="P146" s="304"/>
    </row>
    <row r="147" spans="3:16" s="159" customFormat="1" x14ac:dyDescent="0.2">
      <c r="C147" s="657"/>
      <c r="D147" s="657"/>
      <c r="M147" s="278"/>
      <c r="N147" s="157"/>
      <c r="O147" s="304"/>
      <c r="P147" s="304"/>
    </row>
    <row r="148" spans="3:16" s="159" customFormat="1" x14ac:dyDescent="0.2">
      <c r="C148" s="657"/>
      <c r="D148" s="657"/>
      <c r="M148" s="278"/>
      <c r="N148" s="157"/>
      <c r="O148" s="304"/>
      <c r="P148" s="304"/>
    </row>
    <row r="149" spans="3:16" s="159" customFormat="1" x14ac:dyDescent="0.2">
      <c r="C149" s="657"/>
      <c r="D149" s="657"/>
      <c r="M149" s="278"/>
      <c r="N149" s="157"/>
      <c r="O149" s="304"/>
      <c r="P149" s="304"/>
    </row>
    <row r="150" spans="3:16" s="159" customFormat="1" x14ac:dyDescent="0.2">
      <c r="C150" s="657"/>
      <c r="D150" s="657"/>
      <c r="M150" s="278"/>
      <c r="N150" s="157"/>
      <c r="O150" s="304"/>
      <c r="P150" s="304"/>
    </row>
    <row r="151" spans="3:16" s="159" customFormat="1" x14ac:dyDescent="0.2">
      <c r="C151" s="657"/>
      <c r="D151" s="657"/>
      <c r="M151" s="278"/>
      <c r="N151" s="157"/>
      <c r="O151" s="304"/>
      <c r="P151" s="304"/>
    </row>
    <row r="152" spans="3:16" s="159" customFormat="1" x14ac:dyDescent="0.2">
      <c r="C152" s="657"/>
      <c r="D152" s="657"/>
      <c r="M152" s="278"/>
      <c r="N152" s="157"/>
      <c r="O152" s="304"/>
      <c r="P152" s="304"/>
    </row>
    <row r="153" spans="3:16" s="159" customFormat="1" x14ac:dyDescent="0.2">
      <c r="C153" s="657"/>
      <c r="D153" s="657"/>
      <c r="M153" s="278"/>
      <c r="N153" s="157"/>
      <c r="O153" s="304"/>
      <c r="P153" s="304"/>
    </row>
    <row r="154" spans="3:16" s="159" customFormat="1" x14ac:dyDescent="0.2">
      <c r="C154" s="657"/>
      <c r="D154" s="657"/>
      <c r="M154" s="278"/>
      <c r="N154" s="157"/>
      <c r="O154" s="304"/>
      <c r="P154" s="304"/>
    </row>
    <row r="155" spans="3:16" s="159" customFormat="1" x14ac:dyDescent="0.2">
      <c r="C155" s="657"/>
      <c r="D155" s="657"/>
      <c r="M155" s="278"/>
      <c r="N155" s="157"/>
      <c r="O155" s="304"/>
      <c r="P155" s="304"/>
    </row>
    <row r="156" spans="3:16" s="159" customFormat="1" x14ac:dyDescent="0.2">
      <c r="C156" s="657"/>
      <c r="D156" s="657"/>
      <c r="M156" s="278"/>
      <c r="N156" s="157"/>
      <c r="O156" s="304"/>
      <c r="P156" s="304"/>
    </row>
    <row r="157" spans="3:16" s="159" customFormat="1" x14ac:dyDescent="0.2">
      <c r="C157" s="657"/>
      <c r="D157" s="657"/>
      <c r="M157" s="278"/>
      <c r="N157" s="157"/>
      <c r="O157" s="304"/>
      <c r="P157" s="304"/>
    </row>
    <row r="158" spans="3:16" s="159" customFormat="1" x14ac:dyDescent="0.2">
      <c r="C158" s="657"/>
      <c r="D158" s="657"/>
      <c r="M158" s="278"/>
      <c r="N158" s="157"/>
      <c r="O158" s="304"/>
      <c r="P158" s="304"/>
    </row>
    <row r="159" spans="3:16" s="159" customFormat="1" x14ac:dyDescent="0.2">
      <c r="C159" s="657"/>
      <c r="D159" s="657"/>
      <c r="M159" s="278"/>
      <c r="N159" s="157"/>
      <c r="O159" s="304"/>
      <c r="P159" s="304"/>
    </row>
    <row r="160" spans="3:16" s="159" customFormat="1" x14ac:dyDescent="0.2">
      <c r="C160" s="657"/>
      <c r="D160" s="657"/>
      <c r="M160" s="278"/>
      <c r="N160" s="157"/>
      <c r="O160" s="304"/>
      <c r="P160" s="304"/>
    </row>
    <row r="161" spans="3:16" s="159" customFormat="1" x14ac:dyDescent="0.2">
      <c r="C161" s="657"/>
      <c r="D161" s="657"/>
      <c r="M161" s="278"/>
      <c r="N161" s="157"/>
      <c r="O161" s="304"/>
      <c r="P161" s="304"/>
    </row>
    <row r="162" spans="3:16" s="159" customFormat="1" x14ac:dyDescent="0.2">
      <c r="C162" s="657"/>
      <c r="D162" s="657"/>
      <c r="M162" s="278"/>
      <c r="N162" s="157"/>
      <c r="O162" s="304"/>
      <c r="P162" s="304"/>
    </row>
    <row r="163" spans="3:16" s="159" customFormat="1" x14ac:dyDescent="0.2">
      <c r="C163" s="657"/>
      <c r="D163" s="657"/>
      <c r="M163" s="278"/>
      <c r="N163" s="157"/>
      <c r="O163" s="304"/>
      <c r="P163" s="304"/>
    </row>
    <row r="164" spans="3:16" s="159" customFormat="1" x14ac:dyDescent="0.2">
      <c r="C164" s="657"/>
      <c r="D164" s="657"/>
      <c r="M164" s="278"/>
      <c r="N164" s="157"/>
      <c r="O164" s="304"/>
      <c r="P164" s="304"/>
    </row>
    <row r="165" spans="3:16" s="159" customFormat="1" x14ac:dyDescent="0.2">
      <c r="C165" s="657"/>
      <c r="D165" s="657"/>
      <c r="M165" s="278"/>
      <c r="N165" s="157"/>
      <c r="O165" s="304"/>
      <c r="P165" s="304"/>
    </row>
    <row r="166" spans="3:16" s="159" customFormat="1" x14ac:dyDescent="0.2">
      <c r="C166" s="657"/>
      <c r="D166" s="657"/>
      <c r="M166" s="278"/>
      <c r="N166" s="157"/>
      <c r="O166" s="304"/>
      <c r="P166" s="304"/>
    </row>
    <row r="167" spans="3:16" s="159" customFormat="1" x14ac:dyDescent="0.2">
      <c r="C167" s="657"/>
      <c r="D167" s="657"/>
      <c r="M167" s="278"/>
      <c r="N167" s="157"/>
      <c r="O167" s="304"/>
      <c r="P167" s="304"/>
    </row>
    <row r="168" spans="3:16" s="159" customFormat="1" x14ac:dyDescent="0.2">
      <c r="C168" s="657"/>
      <c r="D168" s="657"/>
      <c r="M168" s="278"/>
      <c r="N168" s="157"/>
      <c r="O168" s="304"/>
      <c r="P168" s="304"/>
    </row>
    <row r="169" spans="3:16" s="159" customFormat="1" x14ac:dyDescent="0.2">
      <c r="C169" s="657"/>
      <c r="D169" s="657"/>
      <c r="M169" s="278"/>
      <c r="N169" s="157"/>
      <c r="O169" s="304"/>
      <c r="P169" s="304"/>
    </row>
    <row r="170" spans="3:16" s="159" customFormat="1" x14ac:dyDescent="0.2">
      <c r="C170" s="657"/>
      <c r="D170" s="657"/>
      <c r="M170" s="278"/>
      <c r="N170" s="157"/>
      <c r="O170" s="304"/>
      <c r="P170" s="304"/>
    </row>
    <row r="171" spans="3:16" s="159" customFormat="1" x14ac:dyDescent="0.2">
      <c r="C171" s="657"/>
      <c r="D171" s="657"/>
      <c r="M171" s="278"/>
      <c r="N171" s="157"/>
      <c r="O171" s="304"/>
      <c r="P171" s="304"/>
    </row>
    <row r="172" spans="3:16" s="159" customFormat="1" x14ac:dyDescent="0.2">
      <c r="C172" s="657"/>
      <c r="D172" s="657"/>
      <c r="M172" s="278"/>
      <c r="N172" s="157"/>
      <c r="O172" s="304"/>
      <c r="P172" s="304"/>
    </row>
    <row r="173" spans="3:16" s="159" customFormat="1" x14ac:dyDescent="0.2">
      <c r="C173" s="657"/>
      <c r="D173" s="657"/>
      <c r="M173" s="278"/>
      <c r="N173" s="157"/>
      <c r="O173" s="304"/>
      <c r="P173" s="304"/>
    </row>
    <row r="174" spans="3:16" s="159" customFormat="1" x14ac:dyDescent="0.2">
      <c r="C174" s="657"/>
      <c r="D174" s="657"/>
      <c r="M174" s="278"/>
      <c r="N174" s="157"/>
      <c r="O174" s="304"/>
      <c r="P174" s="304"/>
    </row>
    <row r="175" spans="3:16" s="159" customFormat="1" x14ac:dyDescent="0.2">
      <c r="C175" s="657"/>
      <c r="D175" s="657"/>
      <c r="M175" s="278"/>
      <c r="N175" s="157"/>
      <c r="O175" s="304"/>
      <c r="P175" s="304"/>
    </row>
    <row r="176" spans="3:16" s="159" customFormat="1" x14ac:dyDescent="0.2">
      <c r="C176" s="657"/>
      <c r="D176" s="657"/>
      <c r="M176" s="278"/>
      <c r="N176" s="157"/>
      <c r="O176" s="304"/>
      <c r="P176" s="304"/>
    </row>
    <row r="177" spans="3:16" s="159" customFormat="1" x14ac:dyDescent="0.2">
      <c r="C177" s="657"/>
      <c r="D177" s="657"/>
      <c r="M177" s="278"/>
      <c r="N177" s="157"/>
      <c r="O177" s="304"/>
      <c r="P177" s="304"/>
    </row>
    <row r="178" spans="3:16" s="159" customFormat="1" x14ac:dyDescent="0.2">
      <c r="C178" s="657"/>
      <c r="D178" s="657"/>
      <c r="M178" s="278"/>
      <c r="N178" s="157"/>
      <c r="O178" s="304"/>
      <c r="P178" s="304"/>
    </row>
    <row r="179" spans="3:16" s="159" customFormat="1" x14ac:dyDescent="0.2">
      <c r="C179" s="657"/>
      <c r="D179" s="657"/>
      <c r="M179" s="278"/>
      <c r="N179" s="157"/>
      <c r="O179" s="304"/>
      <c r="P179" s="304"/>
    </row>
    <row r="180" spans="3:16" s="159" customFormat="1" x14ac:dyDescent="0.2">
      <c r="C180" s="657"/>
      <c r="D180" s="657"/>
      <c r="M180" s="278"/>
      <c r="N180" s="157"/>
      <c r="O180" s="304"/>
      <c r="P180" s="304"/>
    </row>
    <row r="181" spans="3:16" s="159" customFormat="1" x14ac:dyDescent="0.2">
      <c r="C181" s="657"/>
      <c r="D181" s="657"/>
      <c r="M181" s="278"/>
      <c r="N181" s="157"/>
      <c r="O181" s="304"/>
      <c r="P181" s="304"/>
    </row>
    <row r="182" spans="3:16" s="159" customFormat="1" x14ac:dyDescent="0.2">
      <c r="C182" s="657"/>
      <c r="D182" s="657"/>
      <c r="M182" s="278"/>
      <c r="N182" s="157"/>
      <c r="O182" s="304"/>
      <c r="P182" s="304"/>
    </row>
    <row r="183" spans="3:16" s="159" customFormat="1" x14ac:dyDescent="0.2">
      <c r="C183" s="657"/>
      <c r="D183" s="657"/>
      <c r="M183" s="278"/>
      <c r="N183" s="157"/>
      <c r="O183" s="304"/>
      <c r="P183" s="304"/>
    </row>
    <row r="184" spans="3:16" s="159" customFormat="1" x14ac:dyDescent="0.2">
      <c r="C184" s="657"/>
      <c r="D184" s="657"/>
      <c r="M184" s="278"/>
      <c r="N184" s="157"/>
      <c r="O184" s="304"/>
      <c r="P184" s="304"/>
    </row>
    <row r="185" spans="3:16" s="159" customFormat="1" x14ac:dyDescent="0.2">
      <c r="C185" s="657"/>
      <c r="D185" s="657"/>
      <c r="M185" s="278"/>
      <c r="N185" s="157"/>
      <c r="O185" s="304"/>
      <c r="P185" s="304"/>
    </row>
    <row r="186" spans="3:16" s="159" customFormat="1" x14ac:dyDescent="0.2">
      <c r="C186" s="657"/>
      <c r="D186" s="657"/>
      <c r="M186" s="278"/>
      <c r="N186" s="157"/>
      <c r="O186" s="304"/>
      <c r="P186" s="304"/>
    </row>
    <row r="187" spans="3:16" s="159" customFormat="1" x14ac:dyDescent="0.2">
      <c r="C187" s="657"/>
      <c r="D187" s="657"/>
      <c r="M187" s="278"/>
      <c r="N187" s="157"/>
      <c r="O187" s="304"/>
      <c r="P187" s="304"/>
    </row>
    <row r="188" spans="3:16" s="159" customFormat="1" x14ac:dyDescent="0.2">
      <c r="C188" s="657"/>
      <c r="D188" s="657"/>
      <c r="M188" s="278"/>
      <c r="N188" s="157"/>
      <c r="O188" s="304"/>
      <c r="P188" s="304"/>
    </row>
    <row r="189" spans="3:16" s="159" customFormat="1" x14ac:dyDescent="0.2">
      <c r="C189" s="657"/>
      <c r="D189" s="657"/>
      <c r="M189" s="278"/>
      <c r="N189" s="157"/>
      <c r="O189" s="304"/>
      <c r="P189" s="304"/>
    </row>
    <row r="190" spans="3:16" s="159" customFormat="1" x14ac:dyDescent="0.2">
      <c r="C190" s="657"/>
      <c r="D190" s="657"/>
      <c r="M190" s="278"/>
      <c r="N190" s="157"/>
      <c r="O190" s="304"/>
      <c r="P190" s="304"/>
    </row>
    <row r="191" spans="3:16" s="159" customFormat="1" x14ac:dyDescent="0.2">
      <c r="C191" s="657"/>
      <c r="D191" s="657"/>
      <c r="M191" s="278"/>
      <c r="N191" s="157"/>
      <c r="O191" s="304"/>
      <c r="P191" s="304"/>
    </row>
    <row r="192" spans="3:16" s="159" customFormat="1" x14ac:dyDescent="0.2">
      <c r="C192" s="657"/>
      <c r="D192" s="657"/>
      <c r="M192" s="278"/>
      <c r="N192" s="157"/>
      <c r="O192" s="304"/>
      <c r="P192" s="304"/>
    </row>
    <row r="193" spans="3:16" s="159" customFormat="1" x14ac:dyDescent="0.2">
      <c r="C193" s="657"/>
      <c r="D193" s="657"/>
      <c r="M193" s="278"/>
      <c r="N193" s="157"/>
      <c r="O193" s="304"/>
      <c r="P193" s="304"/>
    </row>
    <row r="194" spans="3:16" s="159" customFormat="1" x14ac:dyDescent="0.2">
      <c r="C194" s="657"/>
      <c r="D194" s="657"/>
      <c r="M194" s="278"/>
      <c r="N194" s="157"/>
      <c r="O194" s="304"/>
      <c r="P194" s="304"/>
    </row>
    <row r="195" spans="3:16" s="159" customFormat="1" x14ac:dyDescent="0.2">
      <c r="C195" s="657"/>
      <c r="D195" s="657"/>
      <c r="M195" s="278"/>
      <c r="N195" s="157"/>
      <c r="O195" s="304"/>
      <c r="P195" s="304"/>
    </row>
    <row r="196" spans="3:16" s="159" customFormat="1" x14ac:dyDescent="0.2">
      <c r="C196" s="657"/>
      <c r="D196" s="657"/>
      <c r="M196" s="278"/>
      <c r="N196" s="157"/>
      <c r="O196" s="304"/>
      <c r="P196" s="304"/>
    </row>
    <row r="197" spans="3:16" s="159" customFormat="1" x14ac:dyDescent="0.2">
      <c r="C197" s="657"/>
      <c r="D197" s="657"/>
      <c r="M197" s="278"/>
      <c r="N197" s="157"/>
      <c r="O197" s="304"/>
      <c r="P197" s="304"/>
    </row>
    <row r="198" spans="3:16" s="159" customFormat="1" x14ac:dyDescent="0.2">
      <c r="C198" s="657"/>
      <c r="D198" s="657"/>
      <c r="M198" s="278"/>
      <c r="N198" s="157"/>
      <c r="O198" s="304"/>
      <c r="P198" s="304"/>
    </row>
    <row r="199" spans="3:16" s="159" customFormat="1" x14ac:dyDescent="0.2">
      <c r="C199" s="657"/>
      <c r="D199" s="657"/>
      <c r="M199" s="278"/>
      <c r="N199" s="157"/>
      <c r="O199" s="304"/>
      <c r="P199" s="304"/>
    </row>
    <row r="200" spans="3:16" s="159" customFormat="1" x14ac:dyDescent="0.2">
      <c r="C200" s="657"/>
      <c r="D200" s="657"/>
      <c r="M200" s="278"/>
      <c r="N200" s="157"/>
      <c r="O200" s="304"/>
      <c r="P200" s="304"/>
    </row>
    <row r="201" spans="3:16" s="159" customFormat="1" x14ac:dyDescent="0.2">
      <c r="C201" s="657"/>
      <c r="D201" s="657"/>
      <c r="M201" s="278"/>
      <c r="N201" s="157"/>
      <c r="O201" s="304"/>
      <c r="P201" s="304"/>
    </row>
    <row r="202" spans="3:16" s="159" customFormat="1" x14ac:dyDescent="0.2">
      <c r="C202" s="657"/>
      <c r="D202" s="657"/>
      <c r="M202" s="278"/>
      <c r="N202" s="157"/>
      <c r="O202" s="304"/>
      <c r="P202" s="304"/>
    </row>
    <row r="203" spans="3:16" s="159" customFormat="1" x14ac:dyDescent="0.2">
      <c r="C203" s="657"/>
      <c r="D203" s="657"/>
      <c r="M203" s="278"/>
      <c r="N203" s="157"/>
      <c r="O203" s="304"/>
      <c r="P203" s="304"/>
    </row>
    <row r="204" spans="3:16" s="159" customFormat="1" x14ac:dyDescent="0.2">
      <c r="C204" s="657"/>
      <c r="D204" s="657"/>
      <c r="M204" s="278"/>
      <c r="N204" s="157"/>
      <c r="O204" s="304"/>
      <c r="P204" s="304"/>
    </row>
    <row r="205" spans="3:16" s="159" customFormat="1" x14ac:dyDescent="0.2">
      <c r="C205" s="657"/>
      <c r="D205" s="657"/>
      <c r="M205" s="278"/>
      <c r="N205" s="157"/>
      <c r="O205" s="304"/>
      <c r="P205" s="304"/>
    </row>
    <row r="206" spans="3:16" s="159" customFormat="1" x14ac:dyDescent="0.2">
      <c r="C206" s="657"/>
      <c r="D206" s="657"/>
      <c r="M206" s="278"/>
      <c r="N206" s="157"/>
      <c r="O206" s="304"/>
      <c r="P206" s="304"/>
    </row>
    <row r="207" spans="3:16" s="159" customFormat="1" x14ac:dyDescent="0.2">
      <c r="C207" s="657"/>
      <c r="D207" s="657"/>
      <c r="M207" s="278"/>
      <c r="N207" s="157"/>
      <c r="O207" s="304"/>
      <c r="P207" s="304"/>
    </row>
    <row r="208" spans="3:16" s="159" customFormat="1" x14ac:dyDescent="0.2">
      <c r="C208" s="657"/>
      <c r="D208" s="657"/>
      <c r="M208" s="278"/>
      <c r="N208" s="157"/>
      <c r="O208" s="304"/>
      <c r="P208" s="304"/>
    </row>
    <row r="209" spans="3:16" s="159" customFormat="1" x14ac:dyDescent="0.2">
      <c r="C209" s="657"/>
      <c r="D209" s="657"/>
      <c r="M209" s="278"/>
      <c r="N209" s="157"/>
      <c r="O209" s="304"/>
      <c r="P209" s="304"/>
    </row>
    <row r="210" spans="3:16" s="159" customFormat="1" x14ac:dyDescent="0.2">
      <c r="C210" s="657"/>
      <c r="D210" s="657"/>
      <c r="M210" s="278"/>
      <c r="N210" s="157"/>
      <c r="O210" s="304"/>
      <c r="P210" s="304"/>
    </row>
    <row r="211" spans="3:16" s="159" customFormat="1" x14ac:dyDescent="0.2">
      <c r="C211" s="657"/>
      <c r="D211" s="657"/>
      <c r="M211" s="278"/>
      <c r="N211" s="157"/>
      <c r="O211" s="304"/>
      <c r="P211" s="304"/>
    </row>
    <row r="212" spans="3:16" s="159" customFormat="1" x14ac:dyDescent="0.2">
      <c r="C212" s="657"/>
      <c r="D212" s="657"/>
      <c r="M212" s="278"/>
      <c r="N212" s="157"/>
      <c r="O212" s="304"/>
      <c r="P212" s="304"/>
    </row>
    <row r="213" spans="3:16" s="159" customFormat="1" x14ac:dyDescent="0.2">
      <c r="C213" s="657"/>
      <c r="D213" s="657"/>
      <c r="M213" s="278"/>
      <c r="N213" s="157"/>
      <c r="O213" s="304"/>
      <c r="P213" s="304"/>
    </row>
    <row r="214" spans="3:16" s="159" customFormat="1" x14ac:dyDescent="0.2">
      <c r="C214" s="657"/>
      <c r="D214" s="657"/>
      <c r="M214" s="278"/>
      <c r="N214" s="157"/>
      <c r="O214" s="304"/>
      <c r="P214" s="304"/>
    </row>
    <row r="215" spans="3:16" s="159" customFormat="1" x14ac:dyDescent="0.2">
      <c r="C215" s="657"/>
      <c r="D215" s="657"/>
      <c r="M215" s="278"/>
      <c r="N215" s="157"/>
      <c r="O215" s="304"/>
      <c r="P215" s="304"/>
    </row>
    <row r="216" spans="3:16" s="159" customFormat="1" x14ac:dyDescent="0.2">
      <c r="C216" s="657"/>
      <c r="D216" s="657"/>
      <c r="M216" s="278"/>
      <c r="N216" s="157"/>
      <c r="O216" s="304"/>
      <c r="P216" s="304"/>
    </row>
    <row r="217" spans="3:16" s="159" customFormat="1" x14ac:dyDescent="0.2">
      <c r="C217" s="657"/>
      <c r="D217" s="657"/>
      <c r="M217" s="278"/>
      <c r="N217" s="157"/>
      <c r="O217" s="304"/>
      <c r="P217" s="304"/>
    </row>
    <row r="218" spans="3:16" s="159" customFormat="1" x14ac:dyDescent="0.2">
      <c r="C218" s="657"/>
      <c r="D218" s="657"/>
      <c r="M218" s="278"/>
      <c r="N218" s="157"/>
      <c r="O218" s="304"/>
      <c r="P218" s="304"/>
    </row>
    <row r="219" spans="3:16" s="159" customFormat="1" x14ac:dyDescent="0.2">
      <c r="C219" s="657"/>
      <c r="D219" s="657"/>
      <c r="M219" s="278"/>
      <c r="N219" s="157"/>
      <c r="O219" s="304"/>
      <c r="P219" s="304"/>
    </row>
    <row r="220" spans="3:16" s="159" customFormat="1" x14ac:dyDescent="0.2">
      <c r="C220" s="657"/>
      <c r="D220" s="657"/>
      <c r="M220" s="278"/>
      <c r="N220" s="157"/>
      <c r="O220" s="304"/>
      <c r="P220" s="304"/>
    </row>
    <row r="221" spans="3:16" s="159" customFormat="1" x14ac:dyDescent="0.2">
      <c r="C221" s="657"/>
      <c r="D221" s="657"/>
      <c r="M221" s="278"/>
      <c r="N221" s="157"/>
      <c r="O221" s="304"/>
      <c r="P221" s="304"/>
    </row>
    <row r="222" spans="3:16" s="159" customFormat="1" x14ac:dyDescent="0.2">
      <c r="C222" s="657"/>
      <c r="D222" s="657"/>
      <c r="M222" s="278"/>
      <c r="N222" s="157"/>
      <c r="O222" s="304"/>
      <c r="P222" s="304"/>
    </row>
    <row r="223" spans="3:16" s="159" customFormat="1" x14ac:dyDescent="0.2">
      <c r="C223" s="657"/>
      <c r="D223" s="657"/>
      <c r="M223" s="278"/>
      <c r="N223" s="157"/>
      <c r="O223" s="304"/>
      <c r="P223" s="304"/>
    </row>
    <row r="224" spans="3:16" s="159" customFormat="1" x14ac:dyDescent="0.2">
      <c r="C224" s="657"/>
      <c r="D224" s="657"/>
      <c r="M224" s="278"/>
      <c r="N224" s="157"/>
      <c r="O224" s="304"/>
      <c r="P224" s="304"/>
    </row>
    <row r="225" spans="3:16" s="159" customFormat="1" x14ac:dyDescent="0.2">
      <c r="C225" s="657"/>
      <c r="D225" s="657"/>
      <c r="M225" s="278"/>
      <c r="N225" s="157"/>
      <c r="O225" s="304"/>
      <c r="P225" s="304"/>
    </row>
    <row r="226" spans="3:16" s="159" customFormat="1" x14ac:dyDescent="0.2">
      <c r="C226" s="657"/>
      <c r="D226" s="657"/>
      <c r="M226" s="278"/>
      <c r="N226" s="157"/>
      <c r="O226" s="304"/>
      <c r="P226" s="304"/>
    </row>
    <row r="227" spans="3:16" s="159" customFormat="1" x14ac:dyDescent="0.2">
      <c r="C227" s="657"/>
      <c r="D227" s="657"/>
      <c r="M227" s="278"/>
      <c r="N227" s="157"/>
      <c r="O227" s="304"/>
      <c r="P227" s="304"/>
    </row>
    <row r="228" spans="3:16" s="159" customFormat="1" x14ac:dyDescent="0.2">
      <c r="C228" s="657"/>
      <c r="D228" s="657"/>
      <c r="M228" s="278"/>
      <c r="N228" s="157"/>
      <c r="O228" s="304"/>
      <c r="P228" s="304"/>
    </row>
    <row r="229" spans="3:16" s="159" customFormat="1" x14ac:dyDescent="0.2">
      <c r="C229" s="657"/>
      <c r="D229" s="657"/>
      <c r="M229" s="278"/>
      <c r="N229" s="157"/>
      <c r="O229" s="304"/>
      <c r="P229" s="304"/>
    </row>
    <row r="230" spans="3:16" s="159" customFormat="1" x14ac:dyDescent="0.2">
      <c r="C230" s="657"/>
      <c r="D230" s="657"/>
      <c r="M230" s="278"/>
      <c r="N230" s="157"/>
      <c r="O230" s="304"/>
      <c r="P230" s="304"/>
    </row>
    <row r="231" spans="3:16" s="159" customFormat="1" x14ac:dyDescent="0.2">
      <c r="C231" s="657"/>
      <c r="D231" s="657"/>
      <c r="M231" s="278"/>
      <c r="N231" s="157"/>
      <c r="O231" s="304"/>
      <c r="P231" s="304"/>
    </row>
    <row r="232" spans="3:16" s="159" customFormat="1" x14ac:dyDescent="0.2">
      <c r="C232" s="657"/>
      <c r="D232" s="657"/>
      <c r="M232" s="278"/>
      <c r="N232" s="157"/>
      <c r="O232" s="304"/>
      <c r="P232" s="304"/>
    </row>
    <row r="233" spans="3:16" s="159" customFormat="1" x14ac:dyDescent="0.2">
      <c r="C233" s="657"/>
      <c r="D233" s="657"/>
      <c r="M233" s="278"/>
      <c r="N233" s="157"/>
      <c r="O233" s="304"/>
      <c r="P233" s="304"/>
    </row>
    <row r="234" spans="3:16" s="159" customFormat="1" x14ac:dyDescent="0.2">
      <c r="C234" s="657"/>
      <c r="D234" s="657"/>
      <c r="M234" s="278"/>
      <c r="N234" s="157"/>
      <c r="O234" s="304"/>
      <c r="P234" s="304"/>
    </row>
    <row r="235" spans="3:16" s="159" customFormat="1" x14ac:dyDescent="0.2">
      <c r="C235" s="657"/>
      <c r="D235" s="657"/>
      <c r="M235" s="278"/>
      <c r="N235" s="157"/>
      <c r="O235" s="304"/>
      <c r="P235" s="304"/>
    </row>
    <row r="236" spans="3:16" s="159" customFormat="1" x14ac:dyDescent="0.2">
      <c r="C236" s="657"/>
      <c r="D236" s="657"/>
      <c r="M236" s="278"/>
      <c r="N236" s="157"/>
      <c r="O236" s="304"/>
      <c r="P236" s="304"/>
    </row>
    <row r="237" spans="3:16" s="159" customFormat="1" x14ac:dyDescent="0.2">
      <c r="C237" s="657"/>
      <c r="D237" s="657"/>
      <c r="M237" s="278"/>
      <c r="N237" s="157"/>
      <c r="O237" s="304"/>
      <c r="P237" s="304"/>
    </row>
    <row r="238" spans="3:16" s="159" customFormat="1" x14ac:dyDescent="0.2">
      <c r="C238" s="657"/>
      <c r="D238" s="657"/>
      <c r="M238" s="278"/>
      <c r="N238" s="157"/>
      <c r="O238" s="304"/>
      <c r="P238" s="304"/>
    </row>
    <row r="239" spans="3:16" s="159" customFormat="1" x14ac:dyDescent="0.2">
      <c r="C239" s="657"/>
      <c r="D239" s="657"/>
      <c r="M239" s="278"/>
      <c r="N239" s="157"/>
      <c r="O239" s="304"/>
      <c r="P239" s="304"/>
    </row>
    <row r="240" spans="3:16" s="159" customFormat="1" x14ac:dyDescent="0.2">
      <c r="C240" s="657"/>
      <c r="D240" s="657"/>
      <c r="M240" s="278"/>
      <c r="N240" s="157"/>
      <c r="O240" s="304"/>
      <c r="P240" s="304"/>
    </row>
    <row r="241" spans="3:16" s="159" customFormat="1" x14ac:dyDescent="0.2">
      <c r="C241" s="657"/>
      <c r="D241" s="657"/>
      <c r="M241" s="278"/>
      <c r="N241" s="157"/>
      <c r="O241" s="304"/>
      <c r="P241" s="304"/>
    </row>
    <row r="242" spans="3:16" s="159" customFormat="1" x14ac:dyDescent="0.2">
      <c r="C242" s="657"/>
      <c r="D242" s="657"/>
      <c r="M242" s="278"/>
      <c r="N242" s="157"/>
      <c r="O242" s="304"/>
      <c r="P242" s="304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38" right="0.7" top="0.75" bottom="0.75" header="0.5" footer="0.5"/>
  <pageSetup scale="7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topLeftCell="A7" zoomScale="90" zoomScaleSheetLayoutView="90" workbookViewId="0">
      <selection activeCell="L103" sqref="L103"/>
    </sheetView>
  </sheetViews>
  <sheetFormatPr defaultColWidth="9.140625" defaultRowHeight="12.75" x14ac:dyDescent="0.2"/>
  <cols>
    <col min="1" max="1" width="10.42578125" style="157" customWidth="1"/>
    <col min="2" max="2" width="41.5703125" style="157" customWidth="1"/>
    <col min="3" max="3" width="5" style="442" customWidth="1"/>
    <col min="4" max="4" width="5" style="661" customWidth="1"/>
    <col min="5" max="5" width="11" style="157" bestFit="1" customWidth="1"/>
    <col min="6" max="6" width="12.5703125" style="157" bestFit="1" customWidth="1"/>
    <col min="7" max="7" width="7.140625" style="157" bestFit="1" customWidth="1"/>
    <col min="8" max="8" width="11" style="157" bestFit="1" customWidth="1"/>
    <col min="9" max="9" width="12.5703125" style="157" bestFit="1" customWidth="1"/>
    <col min="10" max="10" width="16.42578125" style="157" bestFit="1" customWidth="1"/>
    <col min="11" max="11" width="13.1406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75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359"/>
      <c r="B10" s="360"/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/>
      <c r="C11" s="373"/>
      <c r="D11" s="374" t="s">
        <v>21</v>
      </c>
      <c r="E11" s="255">
        <v>0</v>
      </c>
      <c r="F11" s="375">
        <f t="shared" ref="F11:F22" si="0">C11*E11</f>
        <v>0</v>
      </c>
      <c r="G11" s="531"/>
      <c r="H11" s="377">
        <v>0</v>
      </c>
      <c r="I11" s="375">
        <f t="shared" ref="I11:I22" si="1">G11*H11</f>
        <v>0</v>
      </c>
      <c r="J11" s="378"/>
      <c r="K11" s="532">
        <f t="shared" ref="K11:K22" si="2">F11+I11+J11</f>
        <v>0</v>
      </c>
      <c r="L11" s="380"/>
      <c r="M11" s="381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157"/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157"/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157"/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157"/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157"/>
      <c r="M22" s="471"/>
      <c r="O22" s="383"/>
      <c r="P22" s="384"/>
      <c r="Q22" s="385"/>
    </row>
    <row r="23" spans="1:17" s="159" customFormat="1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N23" s="157"/>
      <c r="O23" s="383"/>
      <c r="P23" s="384"/>
      <c r="Q23" s="385"/>
    </row>
    <row r="24" spans="1:17" s="159" customFormat="1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157"/>
      <c r="M24" s="471"/>
      <c r="N24" s="157"/>
      <c r="O24" s="383"/>
      <c r="P24" s="384"/>
      <c r="Q24" s="385"/>
    </row>
    <row r="25" spans="1:17" s="159" customFormat="1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s="159" customFormat="1" ht="16.5" thickBot="1" x14ac:dyDescent="0.3">
      <c r="A26" s="396"/>
      <c r="B26" s="397"/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x14ac:dyDescent="0.2">
      <c r="A27" s="407"/>
      <c r="B27" s="408"/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L27" s="157"/>
      <c r="M27" s="471"/>
      <c r="N27" s="157"/>
      <c r="O27" s="383"/>
      <c r="P27" s="384"/>
      <c r="Q27" s="385"/>
    </row>
    <row r="28" spans="1:17" s="159" customFormat="1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540"/>
      <c r="M32" s="257"/>
      <c r="N32" s="423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157"/>
      <c r="M33" s="471"/>
      <c r="N33" s="157"/>
      <c r="O33" s="383"/>
      <c r="P33" s="384"/>
      <c r="Q33" s="385"/>
    </row>
    <row r="34" spans="1:17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17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159" customFormat="1" ht="16.5" thickBot="1" x14ac:dyDescent="0.3">
      <c r="A37" s="396"/>
      <c r="B37" s="397"/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17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L39" s="380"/>
      <c r="M39" s="381"/>
      <c r="N39" s="382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381"/>
      <c r="N40" s="382"/>
      <c r="O40" s="412"/>
      <c r="P40" s="413"/>
      <c r="Q40" s="385"/>
    </row>
    <row r="41" spans="1:17" s="159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17" s="159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M42" s="278"/>
      <c r="N42" s="157"/>
      <c r="O42" s="412"/>
      <c r="P42" s="413"/>
      <c r="Q42" s="385"/>
    </row>
    <row r="43" spans="1:17" s="159" customFormat="1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M43" s="278"/>
      <c r="N43" s="157"/>
      <c r="O43" s="383"/>
      <c r="P43" s="384"/>
      <c r="Q43" s="385"/>
    </row>
    <row r="44" spans="1:17" s="159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17" s="159" customFormat="1" ht="16.5" thickBot="1" x14ac:dyDescent="0.3">
      <c r="A45" s="396"/>
      <c r="B45" s="397"/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17" s="159" customFormat="1" x14ac:dyDescent="0.2">
      <c r="A46" s="407"/>
      <c r="B46" s="408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17" s="159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380"/>
      <c r="M47" s="257"/>
      <c r="N47" s="423"/>
      <c r="O47" s="383"/>
      <c r="P47" s="384"/>
      <c r="Q47" s="385"/>
    </row>
    <row r="48" spans="1:17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663"/>
      <c r="M48" s="664"/>
      <c r="N48" s="665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s="159" customFormat="1" ht="13.5" thickTop="1" x14ac:dyDescent="0.2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157"/>
      <c r="M52" s="471"/>
      <c r="N52" s="157"/>
      <c r="O52" s="438"/>
      <c r="P52" s="439"/>
      <c r="Q52" s="385"/>
    </row>
    <row r="53" spans="1:17" s="159" customFormat="1" ht="13.5" thickBot="1" x14ac:dyDescent="0.25">
      <c r="A53" s="355" t="s">
        <v>0</v>
      </c>
      <c r="B53" s="356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357"/>
      <c r="K53" s="525"/>
      <c r="L53" s="393"/>
      <c r="M53" s="357"/>
      <c r="N53" s="395"/>
      <c r="O53" s="438"/>
      <c r="P53" s="439"/>
      <c r="Q53" s="385"/>
    </row>
    <row r="54" spans="1:17" s="159" customFormat="1" ht="16.5" thickBot="1" x14ac:dyDescent="0.3">
      <c r="A54" s="396"/>
      <c r="B54" s="397"/>
      <c r="C54" s="398" t="s">
        <v>19</v>
      </c>
      <c r="D54" s="399" t="s">
        <v>33</v>
      </c>
      <c r="E54" s="400" t="s">
        <v>35</v>
      </c>
      <c r="F54" s="401" t="s">
        <v>30</v>
      </c>
      <c r="G54" s="535" t="s">
        <v>14</v>
      </c>
      <c r="H54" s="400" t="s">
        <v>35</v>
      </c>
      <c r="I54" s="401" t="s">
        <v>30</v>
      </c>
      <c r="J54" s="366" t="s">
        <v>659</v>
      </c>
      <c r="K54" s="536" t="s">
        <v>38</v>
      </c>
      <c r="L54" s="404"/>
      <c r="M54" s="410"/>
      <c r="N54" s="406"/>
      <c r="O54" s="412"/>
      <c r="P54" s="413"/>
      <c r="Q54" s="385"/>
    </row>
    <row r="55" spans="1:17" s="159" customFormat="1" x14ac:dyDescent="0.2">
      <c r="A55" s="407"/>
      <c r="B55" s="408"/>
      <c r="C55" s="373"/>
      <c r="D55" s="374" t="s">
        <v>21</v>
      </c>
      <c r="E55" s="255">
        <v>0</v>
      </c>
      <c r="F55" s="375">
        <f t="shared" ref="F55:F61" si="6">C55*E55</f>
        <v>0</v>
      </c>
      <c r="G55" s="531"/>
      <c r="H55" s="377">
        <v>0</v>
      </c>
      <c r="I55" s="375">
        <f t="shared" ref="I55:I61" si="7">G55*H55</f>
        <v>0</v>
      </c>
      <c r="J55" s="378"/>
      <c r="K55" s="532">
        <f t="shared" ref="K55:K61" si="8">F55+I55+J55</f>
        <v>0</v>
      </c>
      <c r="M55" s="278"/>
      <c r="N55" s="157"/>
      <c r="O55" s="383"/>
      <c r="P55" s="384"/>
      <c r="Q55" s="385"/>
    </row>
    <row r="56" spans="1:17" s="159" customFormat="1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L56" s="380"/>
      <c r="M56" s="257"/>
      <c r="N56" s="382"/>
      <c r="O56" s="383"/>
      <c r="P56" s="384"/>
      <c r="Q56" s="385"/>
    </row>
    <row r="57" spans="1:17" s="159" customFormat="1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L57" s="380"/>
      <c r="M57" s="257"/>
      <c r="N57" s="382"/>
      <c r="O57" s="383"/>
      <c r="P57" s="384"/>
      <c r="Q57" s="385"/>
    </row>
    <row r="58" spans="1:17" s="159" customFormat="1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s="159" customFormat="1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663"/>
      <c r="M59" s="257"/>
      <c r="N59" s="665"/>
      <c r="O59" s="383"/>
      <c r="P59" s="384"/>
      <c r="Q59" s="385"/>
    </row>
    <row r="60" spans="1:17" s="159" customFormat="1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666"/>
      <c r="M60" s="257"/>
      <c r="N60" s="667"/>
      <c r="O60" s="383"/>
      <c r="P60" s="384"/>
      <c r="Q60" s="385"/>
    </row>
    <row r="61" spans="1:17" s="159" customFormat="1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257"/>
      <c r="N61" s="423"/>
      <c r="O61" s="383"/>
      <c r="P61" s="384"/>
      <c r="Q61" s="385"/>
    </row>
    <row r="62" spans="1:17" s="159" customFormat="1" ht="13.5" thickBot="1" x14ac:dyDescent="0.25">
      <c r="A62" s="389"/>
      <c r="B62" s="5"/>
      <c r="C62" s="390"/>
      <c r="D62" s="374"/>
      <c r="E62" s="255"/>
      <c r="F62" s="375"/>
      <c r="G62" s="531"/>
      <c r="H62" s="377"/>
      <c r="I62" s="375"/>
      <c r="J62" s="378"/>
      <c r="K62" s="537"/>
      <c r="M62" s="278"/>
      <c r="N62" s="157"/>
      <c r="O62" s="383"/>
      <c r="P62" s="384"/>
      <c r="Q62" s="385"/>
    </row>
    <row r="63" spans="1:17" s="159" customFormat="1" ht="13.5" thickTop="1" x14ac:dyDescent="0.2">
      <c r="A63" s="389"/>
      <c r="B63" s="414"/>
      <c r="C63" s="390"/>
      <c r="D63" s="374"/>
      <c r="E63" s="255"/>
      <c r="F63" s="375"/>
      <c r="G63" s="531"/>
      <c r="H63" s="377"/>
      <c r="I63" s="375"/>
      <c r="J63" s="391" t="s">
        <v>30</v>
      </c>
      <c r="K63" s="534">
        <f>SUM(K55:K62)</f>
        <v>0</v>
      </c>
      <c r="M63" s="278"/>
      <c r="N63" s="157"/>
      <c r="O63" s="383"/>
      <c r="P63" s="384"/>
      <c r="Q63" s="385"/>
    </row>
    <row r="64" spans="1:17" s="159" customFormat="1" ht="13.5" thickBot="1" x14ac:dyDescent="0.25">
      <c r="A64" s="355" t="s">
        <v>0</v>
      </c>
      <c r="B64" s="356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357"/>
      <c r="K64" s="525"/>
      <c r="L64" s="393"/>
      <c r="M64" s="357"/>
      <c r="N64" s="440"/>
      <c r="O64" s="383"/>
      <c r="P64" s="384"/>
      <c r="Q64" s="385"/>
    </row>
    <row r="65" spans="1:17" s="159" customFormat="1" ht="16.5" thickBot="1" x14ac:dyDescent="0.3">
      <c r="A65" s="396"/>
      <c r="B65" s="397"/>
      <c r="C65" s="398" t="s">
        <v>19</v>
      </c>
      <c r="D65" s="399" t="s">
        <v>33</v>
      </c>
      <c r="E65" s="400" t="s">
        <v>35</v>
      </c>
      <c r="F65" s="401" t="s">
        <v>30</v>
      </c>
      <c r="G65" s="535" t="s">
        <v>14</v>
      </c>
      <c r="H65" s="400" t="s">
        <v>35</v>
      </c>
      <c r="I65" s="401" t="s">
        <v>30</v>
      </c>
      <c r="J65" s="366" t="s">
        <v>659</v>
      </c>
      <c r="K65" s="536" t="s">
        <v>38</v>
      </c>
      <c r="L65" s="404"/>
      <c r="M65" s="410"/>
      <c r="N65" s="411"/>
      <c r="O65" s="383"/>
      <c r="P65" s="384"/>
      <c r="Q65" s="385"/>
    </row>
    <row r="66" spans="1:17" s="159" customFormat="1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s="159" customFormat="1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s="159" customFormat="1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L68" s="380"/>
      <c r="M68" s="381"/>
      <c r="N68" s="382"/>
      <c r="O68" s="383"/>
      <c r="P68" s="384"/>
      <c r="Q68" s="385"/>
    </row>
    <row r="69" spans="1:17" s="159" customFormat="1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M69" s="278"/>
      <c r="N69" s="157"/>
      <c r="O69" s="383"/>
      <c r="P69" s="384"/>
      <c r="Q69" s="385"/>
    </row>
    <row r="70" spans="1:17" s="159" customFormat="1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M70" s="278"/>
      <c r="N70" s="157"/>
      <c r="O70" s="383"/>
      <c r="P70" s="384"/>
      <c r="Q70" s="385"/>
    </row>
    <row r="71" spans="1:17" s="159" customFormat="1" ht="13.5" thickBot="1" x14ac:dyDescent="0.25">
      <c r="A71" s="389"/>
      <c r="B71" s="5"/>
      <c r="C71" s="390"/>
      <c r="D71" s="374"/>
      <c r="E71" s="255"/>
      <c r="F71" s="375"/>
      <c r="G71" s="531"/>
      <c r="H71" s="377"/>
      <c r="I71" s="375"/>
      <c r="J71" s="378"/>
      <c r="K71" s="537"/>
      <c r="M71" s="278"/>
      <c r="N71" s="157"/>
      <c r="O71" s="383"/>
      <c r="P71" s="384"/>
      <c r="Q71" s="385"/>
    </row>
    <row r="72" spans="1:17" s="159" customFormat="1" ht="13.5" thickTop="1" x14ac:dyDescent="0.2">
      <c r="A72" s="389"/>
      <c r="B72" s="414"/>
      <c r="C72" s="390"/>
      <c r="D72" s="374"/>
      <c r="E72" s="255"/>
      <c r="F72" s="375"/>
      <c r="G72" s="531"/>
      <c r="H72" s="377"/>
      <c r="I72" s="375"/>
      <c r="J72" s="391" t="s">
        <v>30</v>
      </c>
      <c r="K72" s="534">
        <f>SUM(K66:K71)</f>
        <v>0</v>
      </c>
      <c r="M72" s="278"/>
      <c r="N72" s="157"/>
      <c r="O72" s="383"/>
      <c r="P72" s="384"/>
      <c r="Q72" s="385"/>
    </row>
    <row r="73" spans="1:17" s="159" customFormat="1" ht="13.5" thickBot="1" x14ac:dyDescent="0.25">
      <c r="A73" s="355" t="s">
        <v>0</v>
      </c>
      <c r="B73" s="356" t="s">
        <v>1</v>
      </c>
      <c r="C73" s="948" t="s">
        <v>656</v>
      </c>
      <c r="D73" s="948"/>
      <c r="E73" s="948"/>
      <c r="F73" s="948"/>
      <c r="G73" s="948" t="s">
        <v>34</v>
      </c>
      <c r="H73" s="948"/>
      <c r="I73" s="948"/>
      <c r="J73" s="357"/>
      <c r="K73" s="525"/>
      <c r="L73" s="393"/>
      <c r="M73" s="394"/>
      <c r="N73" s="395"/>
      <c r="O73" s="383"/>
      <c r="P73" s="384"/>
      <c r="Q73" s="385"/>
    </row>
    <row r="74" spans="1:17" s="159" customFormat="1" ht="16.5" thickBot="1" x14ac:dyDescent="0.3">
      <c r="A74" s="396"/>
      <c r="B74" s="397"/>
      <c r="C74" s="398" t="s">
        <v>19</v>
      </c>
      <c r="D74" s="399" t="s">
        <v>33</v>
      </c>
      <c r="E74" s="400" t="s">
        <v>35</v>
      </c>
      <c r="F74" s="401" t="s">
        <v>30</v>
      </c>
      <c r="G74" s="535" t="s">
        <v>14</v>
      </c>
      <c r="H74" s="400" t="s">
        <v>35</v>
      </c>
      <c r="I74" s="401" t="s">
        <v>30</v>
      </c>
      <c r="J74" s="366" t="s">
        <v>659</v>
      </c>
      <c r="K74" s="536" t="s">
        <v>38</v>
      </c>
      <c r="L74" s="404"/>
      <c r="M74" s="405"/>
      <c r="N74" s="406"/>
      <c r="O74" s="383"/>
      <c r="P74" s="384"/>
      <c r="Q74" s="385"/>
    </row>
    <row r="75" spans="1:17" s="159" customFormat="1" x14ac:dyDescent="0.2">
      <c r="A75" s="407"/>
      <c r="B75" s="408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L75" s="380"/>
      <c r="M75" s="381"/>
      <c r="N75" s="382"/>
      <c r="O75" s="383"/>
      <c r="P75" s="384"/>
      <c r="Q75" s="385"/>
    </row>
    <row r="76" spans="1:17" s="159" customFormat="1" x14ac:dyDescent="0.2">
      <c r="A76" s="372"/>
      <c r="B76" s="5"/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L76" s="663"/>
      <c r="M76" s="664"/>
      <c r="N76" s="665"/>
      <c r="O76" s="383"/>
      <c r="P76" s="384"/>
      <c r="Q76" s="385"/>
    </row>
    <row r="77" spans="1:17" s="159" customFormat="1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s="159" customFormat="1" ht="13.5" thickTop="1" x14ac:dyDescent="0.2">
      <c r="A79" s="389"/>
      <c r="B79" s="157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SUM(K75:K78)</f>
        <v>0</v>
      </c>
      <c r="L79" s="380"/>
      <c r="M79" s="381"/>
      <c r="N79" s="382"/>
      <c r="O79" s="383"/>
      <c r="P79" s="384"/>
      <c r="Q79" s="385"/>
    </row>
    <row r="80" spans="1:17" s="159" customFormat="1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s="159" customFormat="1" ht="16.5" thickBot="1" x14ac:dyDescent="0.3">
      <c r="A81" s="396"/>
      <c r="B81" s="397"/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s="159" customFormat="1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x14ac:dyDescent="0.2">
      <c r="A84" s="372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M84" s="278"/>
      <c r="N84" s="157"/>
      <c r="O84" s="383"/>
      <c r="P84" s="384"/>
      <c r="Q84" s="385"/>
    </row>
    <row r="85" spans="1:17" s="159" customFormat="1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L85" s="380"/>
      <c r="M85" s="381"/>
      <c r="N85" s="382"/>
      <c r="O85" s="383"/>
      <c r="P85" s="384"/>
      <c r="Q85" s="385"/>
    </row>
    <row r="86" spans="1:17" s="159" customFormat="1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L86" s="380"/>
      <c r="M86" s="381"/>
      <c r="N86" s="382"/>
      <c r="O86" s="383"/>
      <c r="P86" s="384"/>
      <c r="Q86" s="385"/>
    </row>
    <row r="87" spans="1:17" s="159" customFormat="1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L87" s="380"/>
      <c r="M87" s="381"/>
      <c r="N87" s="382"/>
      <c r="O87" s="383"/>
      <c r="P87" s="384"/>
      <c r="Q87" s="385"/>
    </row>
    <row r="88" spans="1:17" s="159" customFormat="1" ht="13.5" thickTop="1" x14ac:dyDescent="0.2">
      <c r="A88" s="389"/>
      <c r="B88" s="414"/>
      <c r="C88" s="390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M88" s="278"/>
      <c r="N88" s="157"/>
      <c r="O88" s="383"/>
      <c r="P88" s="384"/>
      <c r="Q88" s="385"/>
    </row>
    <row r="89" spans="1:17" s="159" customFormat="1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s="159" customFormat="1" ht="16.5" thickBot="1" x14ac:dyDescent="0.3">
      <c r="A90" s="396"/>
      <c r="B90" s="397"/>
      <c r="C90" s="398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s="159" customFormat="1" x14ac:dyDescent="0.2">
      <c r="A91" s="407"/>
      <c r="B91" s="408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380"/>
      <c r="M91" s="381"/>
      <c r="N91" s="382"/>
      <c r="O91" s="383"/>
      <c r="P91" s="384"/>
      <c r="Q91" s="385"/>
    </row>
    <row r="92" spans="1:17" s="159" customFormat="1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669"/>
      <c r="M92" s="670"/>
      <c r="N92" s="671"/>
      <c r="O92" s="383"/>
      <c r="P92" s="384"/>
      <c r="Q92" s="385"/>
    </row>
    <row r="93" spans="1:17" s="159" customFormat="1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669"/>
      <c r="M93" s="670"/>
      <c r="N93" s="672"/>
      <c r="O93" s="383"/>
      <c r="P93" s="384"/>
      <c r="Q93" s="385"/>
    </row>
    <row r="94" spans="1:17" s="159" customFormat="1" x14ac:dyDescent="0.2">
      <c r="A94" s="372"/>
      <c r="B94" s="5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s="159" customFormat="1" ht="13.5" thickBot="1" x14ac:dyDescent="0.25">
      <c r="A95" s="389"/>
      <c r="B95" s="414"/>
      <c r="C95" s="373"/>
      <c r="D95" s="374"/>
      <c r="E95" s="255"/>
      <c r="F95" s="375"/>
      <c r="G95" s="531"/>
      <c r="H95" s="377"/>
      <c r="I95" s="375"/>
      <c r="J95" s="378"/>
      <c r="K95" s="532"/>
      <c r="L95" s="669"/>
      <c r="M95" s="670"/>
      <c r="N95" s="672"/>
      <c r="O95" s="383"/>
      <c r="P95" s="384"/>
      <c r="Q95" s="385"/>
    </row>
    <row r="96" spans="1:17" s="159" customFormat="1" ht="14.25" thickTop="1" thickBot="1" x14ac:dyDescent="0.25">
      <c r="A96" s="472"/>
      <c r="B96" s="156"/>
      <c r="C96" s="473"/>
      <c r="D96" s="474"/>
      <c r="E96" s="475"/>
      <c r="F96" s="476"/>
      <c r="G96" s="636"/>
      <c r="H96" s="475"/>
      <c r="I96" s="476"/>
      <c r="J96" s="478" t="s">
        <v>30</v>
      </c>
      <c r="K96" s="637">
        <f>SUM(K91:K95)</f>
        <v>0</v>
      </c>
      <c r="L96" s="669"/>
      <c r="M96" s="670"/>
      <c r="N96" s="672"/>
      <c r="O96" s="383"/>
      <c r="P96" s="384"/>
      <c r="Q96" s="385"/>
    </row>
    <row r="97" spans="1:17" s="159" customFormat="1" ht="14.1" customHeight="1" thickBot="1" x14ac:dyDescent="0.3">
      <c r="A97" s="480"/>
      <c r="B97" s="481"/>
      <c r="C97" s="482"/>
      <c r="D97" s="482"/>
      <c r="E97" s="483"/>
      <c r="F97" s="978" t="s">
        <v>658</v>
      </c>
      <c r="G97" s="1001" t="s">
        <v>682</v>
      </c>
      <c r="H97" s="483"/>
      <c r="I97" s="971" t="s">
        <v>657</v>
      </c>
      <c r="J97" s="967" t="s">
        <v>683</v>
      </c>
      <c r="K97" s="965" t="s">
        <v>31</v>
      </c>
      <c r="L97" s="673"/>
      <c r="M97" s="674"/>
      <c r="N97" s="675"/>
      <c r="O97" s="462"/>
      <c r="P97" s="463"/>
      <c r="Q97" s="464"/>
    </row>
    <row r="98" spans="1:17" s="159" customFormat="1" ht="15.75" thickTop="1" x14ac:dyDescent="0.2">
      <c r="A98" s="484" t="s">
        <v>32</v>
      </c>
      <c r="B98" s="973" t="s">
        <v>666</v>
      </c>
      <c r="C98" s="485"/>
      <c r="D98" s="486"/>
      <c r="E98" s="486"/>
      <c r="F98" s="979"/>
      <c r="G98" s="1002"/>
      <c r="H98" s="487"/>
      <c r="I98" s="972"/>
      <c r="J98" s="968"/>
      <c r="K98" s="966"/>
      <c r="M98" s="278"/>
      <c r="N98" s="157"/>
      <c r="O98" s="304"/>
      <c r="P98" s="304"/>
    </row>
    <row r="99" spans="1:17" s="159" customFormat="1" ht="15" x14ac:dyDescent="0.25">
      <c r="A99" s="828">
        <f>K99/E6</f>
        <v>0</v>
      </c>
      <c r="B99" s="973"/>
      <c r="C99" s="486"/>
      <c r="D99" s="486"/>
      <c r="E99" s="486"/>
      <c r="F99" s="961">
        <f>SUM(F91:F95,F82:F87,F75:F78,F66:F71,F55:F61,F46:F51,F38:F42,F27:F34,F11:F23)</f>
        <v>0</v>
      </c>
      <c r="G99" s="1006">
        <f>SUM(G91:G95,G82:G87,G75:G78,G66:G71,G55:G61,G46:G51,G38:G42,G27:G34,G11:G23)</f>
        <v>0</v>
      </c>
      <c r="H99" s="487"/>
      <c r="I99" s="961">
        <f>SUM(I91:I95,I82:I87,I75:I78,I66:I71,I55:I61,I46:I51,I38:I42,I27:I34,I11:I23)</f>
        <v>0</v>
      </c>
      <c r="J99" s="961">
        <f>SUM(J91:J95,J82:J87,J75:J78,J66:J71,J55:J61,J46:J51,J38:J42,J27:J34,J11:J23)</f>
        <v>0</v>
      </c>
      <c r="K99" s="963">
        <f>SUM(K96,K88,K79,K72,K63,K52,K43,K35,K24)</f>
        <v>0</v>
      </c>
      <c r="M99" s="278"/>
      <c r="N99" s="157"/>
      <c r="O99" s="304"/>
      <c r="P99" s="304"/>
    </row>
    <row r="100" spans="1:17" s="159" customFormat="1" ht="15" thickBot="1" x14ac:dyDescent="0.25">
      <c r="A100" s="484"/>
      <c r="B100" s="552"/>
      <c r="C100" s="490"/>
      <c r="D100" s="490"/>
      <c r="E100" s="490"/>
      <c r="F100" s="962"/>
      <c r="G100" s="1007"/>
      <c r="H100" s="490"/>
      <c r="I100" s="962"/>
      <c r="J100" s="962"/>
      <c r="K100" s="964"/>
      <c r="M100" s="278"/>
      <c r="N100" s="157"/>
      <c r="O100" s="304"/>
      <c r="P100" s="304"/>
    </row>
    <row r="101" spans="1:17" s="159" customFormat="1" ht="13.5" thickBot="1" x14ac:dyDescent="0.25">
      <c r="A101" s="491"/>
      <c r="B101" s="492"/>
      <c r="C101" s="492"/>
      <c r="D101" s="492"/>
      <c r="E101" s="492"/>
      <c r="F101" s="492"/>
      <c r="G101" s="492"/>
      <c r="H101" s="492"/>
      <c r="I101" s="492"/>
      <c r="J101" s="492"/>
      <c r="K101" s="493"/>
      <c r="M101" s="278"/>
      <c r="N101" s="157"/>
      <c r="O101" s="304"/>
      <c r="P101" s="304"/>
    </row>
    <row r="102" spans="1:17" s="159" customFormat="1" x14ac:dyDescent="0.2">
      <c r="C102" s="657"/>
      <c r="D102" s="657"/>
      <c r="M102" s="278"/>
      <c r="N102" s="157"/>
      <c r="O102" s="304"/>
      <c r="P102" s="304"/>
    </row>
    <row r="103" spans="1:17" s="159" customFormat="1" x14ac:dyDescent="0.2">
      <c r="C103" s="657"/>
      <c r="D103" s="657"/>
      <c r="M103" s="278"/>
      <c r="N103" s="157"/>
      <c r="O103" s="304"/>
      <c r="P103" s="304"/>
    </row>
    <row r="104" spans="1:17" s="159" customFormat="1" x14ac:dyDescent="0.2">
      <c r="C104" s="657"/>
      <c r="D104" s="657"/>
      <c r="M104" s="278"/>
      <c r="N104" s="157"/>
      <c r="O104" s="304"/>
      <c r="P104" s="304"/>
    </row>
    <row r="105" spans="1:17" s="159" customFormat="1" x14ac:dyDescent="0.2">
      <c r="C105" s="657"/>
      <c r="D105" s="657"/>
      <c r="M105" s="278"/>
      <c r="N105" s="157"/>
      <c r="O105" s="304"/>
      <c r="P105" s="304"/>
    </row>
    <row r="106" spans="1:17" s="159" customFormat="1" x14ac:dyDescent="0.2">
      <c r="C106" s="657"/>
      <c r="D106" s="657"/>
      <c r="M106" s="278"/>
      <c r="N106" s="157"/>
      <c r="O106" s="304"/>
      <c r="P106" s="304"/>
    </row>
    <row r="107" spans="1:17" s="159" customFormat="1" x14ac:dyDescent="0.2">
      <c r="C107" s="657"/>
      <c r="D107" s="657"/>
      <c r="M107" s="278"/>
      <c r="N107" s="157"/>
      <c r="O107" s="304"/>
      <c r="P107" s="304"/>
    </row>
    <row r="108" spans="1:17" s="159" customFormat="1" x14ac:dyDescent="0.2">
      <c r="C108" s="657"/>
      <c r="D108" s="657"/>
      <c r="M108" s="278"/>
      <c r="N108" s="157"/>
      <c r="O108" s="304"/>
      <c r="P108" s="304"/>
    </row>
    <row r="109" spans="1:17" s="159" customFormat="1" x14ac:dyDescent="0.2">
      <c r="C109" s="657"/>
      <c r="D109" s="657"/>
      <c r="M109" s="278"/>
      <c r="N109" s="157"/>
      <c r="O109" s="304"/>
      <c r="P109" s="304"/>
    </row>
    <row r="110" spans="1:17" s="159" customFormat="1" x14ac:dyDescent="0.2">
      <c r="C110" s="657"/>
      <c r="D110" s="657"/>
      <c r="M110" s="278"/>
      <c r="N110" s="157"/>
      <c r="O110" s="304"/>
      <c r="P110" s="304"/>
    </row>
    <row r="111" spans="1:17" s="159" customFormat="1" x14ac:dyDescent="0.2">
      <c r="C111" s="657"/>
      <c r="D111" s="657"/>
      <c r="M111" s="278"/>
      <c r="N111" s="157"/>
      <c r="O111" s="304"/>
      <c r="P111" s="304"/>
    </row>
    <row r="112" spans="1:17" s="159" customFormat="1" x14ac:dyDescent="0.2">
      <c r="C112" s="657"/>
      <c r="D112" s="657"/>
      <c r="M112" s="278"/>
      <c r="N112" s="157"/>
      <c r="O112" s="304"/>
      <c r="P112" s="304"/>
    </row>
    <row r="113" spans="3:16" s="159" customFormat="1" x14ac:dyDescent="0.2">
      <c r="C113" s="657"/>
      <c r="D113" s="657"/>
      <c r="M113" s="278"/>
      <c r="N113" s="157"/>
      <c r="O113" s="304"/>
      <c r="P113" s="304"/>
    </row>
    <row r="114" spans="3:16" s="159" customFormat="1" x14ac:dyDescent="0.2">
      <c r="C114" s="657"/>
      <c r="D114" s="657"/>
      <c r="M114" s="278"/>
      <c r="N114" s="157"/>
      <c r="O114" s="304"/>
      <c r="P114" s="304"/>
    </row>
    <row r="115" spans="3:16" s="159" customFormat="1" x14ac:dyDescent="0.2">
      <c r="C115" s="657"/>
      <c r="D115" s="657"/>
      <c r="M115" s="278"/>
      <c r="N115" s="157"/>
      <c r="O115" s="304"/>
      <c r="P115" s="304"/>
    </row>
    <row r="116" spans="3:16" s="159" customFormat="1" x14ac:dyDescent="0.2">
      <c r="C116" s="657"/>
      <c r="D116" s="657"/>
      <c r="M116" s="278"/>
      <c r="N116" s="157"/>
      <c r="O116" s="304"/>
      <c r="P116" s="304"/>
    </row>
    <row r="117" spans="3:16" s="159" customFormat="1" x14ac:dyDescent="0.2">
      <c r="C117" s="657"/>
      <c r="D117" s="657"/>
      <c r="M117" s="278"/>
      <c r="N117" s="157"/>
      <c r="O117" s="304"/>
      <c r="P117" s="304"/>
    </row>
    <row r="118" spans="3:16" s="159" customFormat="1" x14ac:dyDescent="0.2">
      <c r="C118" s="657"/>
      <c r="D118" s="657"/>
      <c r="M118" s="278"/>
      <c r="N118" s="157"/>
      <c r="O118" s="304"/>
      <c r="P118" s="304"/>
    </row>
    <row r="119" spans="3:16" s="159" customFormat="1" x14ac:dyDescent="0.2">
      <c r="C119" s="657"/>
      <c r="D119" s="657"/>
      <c r="M119" s="278"/>
      <c r="N119" s="157"/>
      <c r="O119" s="304"/>
      <c r="P119" s="304"/>
    </row>
    <row r="120" spans="3:16" s="159" customFormat="1" x14ac:dyDescent="0.2">
      <c r="C120" s="657"/>
      <c r="D120" s="657"/>
      <c r="M120" s="278"/>
      <c r="N120" s="157"/>
      <c r="O120" s="304"/>
      <c r="P120" s="304"/>
    </row>
    <row r="121" spans="3:16" s="159" customFormat="1" x14ac:dyDescent="0.2">
      <c r="C121" s="657"/>
      <c r="D121" s="657"/>
      <c r="M121" s="278"/>
      <c r="N121" s="157"/>
      <c r="O121" s="304"/>
      <c r="P121" s="304"/>
    </row>
    <row r="122" spans="3:16" s="159" customFormat="1" x14ac:dyDescent="0.2">
      <c r="C122" s="657"/>
      <c r="D122" s="657"/>
      <c r="M122" s="278"/>
      <c r="N122" s="157"/>
      <c r="O122" s="304"/>
      <c r="P122" s="304"/>
    </row>
    <row r="123" spans="3:16" s="159" customFormat="1" x14ac:dyDescent="0.2">
      <c r="C123" s="657"/>
      <c r="D123" s="657"/>
      <c r="M123" s="278"/>
      <c r="N123" s="157"/>
      <c r="O123" s="304"/>
      <c r="P123" s="304"/>
    </row>
    <row r="124" spans="3:16" s="159" customFormat="1" x14ac:dyDescent="0.2">
      <c r="C124" s="657"/>
      <c r="D124" s="657"/>
      <c r="M124" s="278"/>
      <c r="N124" s="157"/>
      <c r="O124" s="304"/>
      <c r="P124" s="304"/>
    </row>
    <row r="125" spans="3:16" s="159" customFormat="1" x14ac:dyDescent="0.2">
      <c r="C125" s="657"/>
      <c r="D125" s="657"/>
      <c r="M125" s="278"/>
      <c r="N125" s="157"/>
      <c r="O125" s="304"/>
      <c r="P125" s="304"/>
    </row>
    <row r="126" spans="3:16" s="159" customFormat="1" x14ac:dyDescent="0.2">
      <c r="C126" s="657"/>
      <c r="D126" s="657"/>
      <c r="M126" s="278"/>
      <c r="N126" s="157"/>
      <c r="O126" s="304"/>
      <c r="P126" s="304"/>
    </row>
    <row r="127" spans="3:16" s="159" customFormat="1" x14ac:dyDescent="0.2">
      <c r="C127" s="657"/>
      <c r="D127" s="657"/>
      <c r="M127" s="278"/>
      <c r="N127" s="157"/>
      <c r="O127" s="304"/>
      <c r="P127" s="304"/>
    </row>
    <row r="128" spans="3:16" s="159" customFormat="1" x14ac:dyDescent="0.2">
      <c r="C128" s="657"/>
      <c r="D128" s="657"/>
      <c r="M128" s="278"/>
      <c r="N128" s="157"/>
      <c r="O128" s="304"/>
      <c r="P128" s="304"/>
    </row>
    <row r="129" spans="3:16" s="159" customFormat="1" x14ac:dyDescent="0.2">
      <c r="C129" s="657"/>
      <c r="D129" s="657"/>
      <c r="M129" s="278"/>
      <c r="N129" s="157"/>
      <c r="O129" s="304"/>
      <c r="P129" s="304"/>
    </row>
    <row r="130" spans="3:16" s="159" customFormat="1" x14ac:dyDescent="0.2">
      <c r="C130" s="657"/>
      <c r="D130" s="657"/>
      <c r="M130" s="278"/>
      <c r="N130" s="157"/>
      <c r="O130" s="304"/>
      <c r="P130" s="304"/>
    </row>
    <row r="131" spans="3:16" s="159" customFormat="1" x14ac:dyDescent="0.2">
      <c r="C131" s="657"/>
      <c r="D131" s="657"/>
      <c r="M131" s="278"/>
      <c r="N131" s="157"/>
      <c r="O131" s="304"/>
      <c r="P131" s="304"/>
    </row>
    <row r="132" spans="3:16" s="159" customFormat="1" x14ac:dyDescent="0.2">
      <c r="C132" s="657"/>
      <c r="D132" s="657"/>
      <c r="M132" s="278"/>
      <c r="N132" s="157"/>
      <c r="O132" s="304"/>
      <c r="P132" s="304"/>
    </row>
    <row r="133" spans="3:16" s="159" customFormat="1" x14ac:dyDescent="0.2">
      <c r="C133" s="657"/>
      <c r="D133" s="657"/>
      <c r="M133" s="278"/>
      <c r="N133" s="157"/>
      <c r="O133" s="304"/>
      <c r="P133" s="304"/>
    </row>
    <row r="134" spans="3:16" s="159" customFormat="1" x14ac:dyDescent="0.2">
      <c r="C134" s="657"/>
      <c r="D134" s="657"/>
      <c r="M134" s="278"/>
      <c r="N134" s="157"/>
      <c r="O134" s="304"/>
      <c r="P134" s="304"/>
    </row>
    <row r="135" spans="3:16" s="159" customFormat="1" x14ac:dyDescent="0.2">
      <c r="C135" s="657"/>
      <c r="D135" s="657"/>
      <c r="M135" s="278"/>
      <c r="N135" s="157"/>
      <c r="O135" s="304"/>
      <c r="P135" s="304"/>
    </row>
    <row r="136" spans="3:16" s="159" customFormat="1" x14ac:dyDescent="0.2">
      <c r="C136" s="657"/>
      <c r="D136" s="657"/>
      <c r="M136" s="278"/>
      <c r="N136" s="157"/>
      <c r="O136" s="304"/>
      <c r="P136" s="304"/>
    </row>
    <row r="137" spans="3:16" s="159" customFormat="1" x14ac:dyDescent="0.2">
      <c r="C137" s="657"/>
      <c r="D137" s="657"/>
      <c r="M137" s="278"/>
      <c r="N137" s="157"/>
      <c r="O137" s="304"/>
      <c r="P137" s="304"/>
    </row>
    <row r="138" spans="3:16" s="159" customFormat="1" x14ac:dyDescent="0.2">
      <c r="C138" s="657"/>
      <c r="D138" s="657"/>
      <c r="M138" s="278"/>
      <c r="N138" s="157"/>
      <c r="O138" s="304"/>
      <c r="P138" s="304"/>
    </row>
    <row r="139" spans="3:16" s="159" customFormat="1" x14ac:dyDescent="0.2">
      <c r="C139" s="657"/>
      <c r="D139" s="657"/>
      <c r="M139" s="278"/>
      <c r="N139" s="157"/>
      <c r="O139" s="304"/>
      <c r="P139" s="304"/>
    </row>
    <row r="140" spans="3:16" s="159" customFormat="1" x14ac:dyDescent="0.2">
      <c r="C140" s="657"/>
      <c r="D140" s="657"/>
      <c r="M140" s="278"/>
      <c r="N140" s="157"/>
      <c r="O140" s="304"/>
      <c r="P140" s="304"/>
    </row>
    <row r="141" spans="3:16" s="159" customFormat="1" x14ac:dyDescent="0.2">
      <c r="C141" s="657"/>
      <c r="D141" s="657"/>
      <c r="M141" s="278"/>
      <c r="N141" s="157"/>
      <c r="O141" s="304"/>
      <c r="P141" s="304"/>
    </row>
    <row r="142" spans="3:16" s="159" customFormat="1" x14ac:dyDescent="0.2">
      <c r="C142" s="657"/>
      <c r="D142" s="657"/>
      <c r="M142" s="278"/>
      <c r="N142" s="157"/>
      <c r="O142" s="304"/>
      <c r="P142" s="304"/>
    </row>
    <row r="143" spans="3:16" s="159" customFormat="1" x14ac:dyDescent="0.2">
      <c r="C143" s="657"/>
      <c r="D143" s="657"/>
      <c r="M143" s="278"/>
      <c r="N143" s="157"/>
      <c r="O143" s="304"/>
      <c r="P143" s="304"/>
    </row>
    <row r="144" spans="3:16" s="159" customFormat="1" x14ac:dyDescent="0.2">
      <c r="C144" s="657"/>
      <c r="D144" s="657"/>
      <c r="M144" s="278"/>
      <c r="N144" s="157"/>
      <c r="O144" s="304"/>
      <c r="P144" s="304"/>
    </row>
    <row r="145" spans="3:16" s="159" customFormat="1" x14ac:dyDescent="0.2">
      <c r="C145" s="657"/>
      <c r="D145" s="657"/>
      <c r="M145" s="278"/>
      <c r="N145" s="157"/>
      <c r="O145" s="304"/>
      <c r="P145" s="304"/>
    </row>
    <row r="146" spans="3:16" s="159" customFormat="1" x14ac:dyDescent="0.2">
      <c r="C146" s="657"/>
      <c r="D146" s="657"/>
      <c r="M146" s="278"/>
      <c r="N146" s="157"/>
      <c r="O146" s="304"/>
      <c r="P146" s="304"/>
    </row>
    <row r="147" spans="3:16" s="159" customFormat="1" x14ac:dyDescent="0.2">
      <c r="C147" s="657"/>
      <c r="D147" s="657"/>
      <c r="M147" s="278"/>
      <c r="N147" s="157"/>
      <c r="O147" s="304"/>
      <c r="P147" s="304"/>
    </row>
    <row r="148" spans="3:16" s="159" customFormat="1" x14ac:dyDescent="0.2">
      <c r="C148" s="657"/>
      <c r="D148" s="657"/>
      <c r="M148" s="278"/>
      <c r="N148" s="157"/>
      <c r="O148" s="304"/>
      <c r="P148" s="304"/>
    </row>
    <row r="149" spans="3:16" s="159" customFormat="1" x14ac:dyDescent="0.2">
      <c r="C149" s="657"/>
      <c r="D149" s="657"/>
      <c r="M149" s="278"/>
      <c r="N149" s="157"/>
      <c r="O149" s="304"/>
      <c r="P149" s="304"/>
    </row>
    <row r="150" spans="3:16" s="159" customFormat="1" x14ac:dyDescent="0.2">
      <c r="C150" s="657"/>
      <c r="D150" s="657"/>
      <c r="M150" s="278"/>
      <c r="N150" s="157"/>
      <c r="O150" s="304"/>
      <c r="P150" s="304"/>
    </row>
    <row r="151" spans="3:16" s="159" customFormat="1" x14ac:dyDescent="0.2">
      <c r="C151" s="657"/>
      <c r="D151" s="657"/>
      <c r="M151" s="278"/>
      <c r="N151" s="157"/>
      <c r="O151" s="304"/>
      <c r="P151" s="304"/>
    </row>
    <row r="152" spans="3:16" s="159" customFormat="1" x14ac:dyDescent="0.2">
      <c r="C152" s="657"/>
      <c r="D152" s="657"/>
      <c r="M152" s="278"/>
      <c r="N152" s="157"/>
      <c r="O152" s="304"/>
      <c r="P152" s="304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5" top="0.75" bottom="0.75" header="0.5" footer="0.5"/>
  <pageSetup scale="73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2"/>
  <sheetViews>
    <sheetView zoomScale="90" zoomScaleSheetLayoutView="90" workbookViewId="0">
      <selection activeCell="K25" sqref="K25"/>
    </sheetView>
  </sheetViews>
  <sheetFormatPr defaultColWidth="9.140625" defaultRowHeight="12.75" x14ac:dyDescent="0.2"/>
  <cols>
    <col min="1" max="1" width="12.140625" style="157" bestFit="1" customWidth="1"/>
    <col min="2" max="2" width="42.140625" style="157" customWidth="1"/>
    <col min="3" max="3" width="5" style="442" customWidth="1"/>
    <col min="4" max="4" width="5" style="661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3.140625" style="157" bestFit="1" customWidth="1"/>
    <col min="10" max="10" width="16.140625" style="157" bestFit="1" customWidth="1"/>
    <col min="11" max="11" width="13.1406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362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363</v>
      </c>
      <c r="B10" s="527" t="s">
        <v>67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/>
      <c r="C11" s="373"/>
      <c r="D11" s="374" t="s">
        <v>21</v>
      </c>
      <c r="E11" s="255">
        <v>0</v>
      </c>
      <c r="F11" s="375">
        <f t="shared" ref="F11:F22" si="0">C11*E11</f>
        <v>0</v>
      </c>
      <c r="G11" s="531"/>
      <c r="H11" s="377">
        <v>0</v>
      </c>
      <c r="I11" s="375">
        <f t="shared" ref="I11:I22" si="1">G11*H11</f>
        <v>0</v>
      </c>
      <c r="J11" s="378"/>
      <c r="K11" s="532">
        <f t="shared" ref="K11:K22" si="2">F11+I11+J11</f>
        <v>0</v>
      </c>
      <c r="L11" s="380"/>
      <c r="M11" s="381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157"/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157"/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157"/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157"/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157"/>
      <c r="M22" s="471"/>
      <c r="O22" s="383"/>
      <c r="P22" s="384"/>
      <c r="Q22" s="385"/>
    </row>
    <row r="23" spans="1:17" s="159" customFormat="1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N23" s="157"/>
      <c r="O23" s="383"/>
      <c r="P23" s="384"/>
      <c r="Q23" s="385"/>
    </row>
    <row r="24" spans="1:17" s="159" customFormat="1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157"/>
      <c r="M24" s="471"/>
      <c r="N24" s="157"/>
      <c r="O24" s="383"/>
      <c r="P24" s="384"/>
      <c r="Q24" s="385"/>
    </row>
    <row r="25" spans="1:17" s="159" customFormat="1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s="159" customFormat="1" ht="16.5" thickBot="1" x14ac:dyDescent="0.3">
      <c r="A26" s="527" t="s">
        <v>364</v>
      </c>
      <c r="B26" s="527" t="s">
        <v>68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x14ac:dyDescent="0.2">
      <c r="A27" s="407"/>
      <c r="B27" s="408"/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L27" s="157"/>
      <c r="M27" s="471"/>
      <c r="N27" s="157"/>
      <c r="O27" s="383"/>
      <c r="P27" s="384"/>
      <c r="Q27" s="385"/>
    </row>
    <row r="28" spans="1:17" s="159" customFormat="1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540"/>
      <c r="M32" s="257"/>
      <c r="N32" s="423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157"/>
      <c r="M33" s="471"/>
      <c r="N33" s="157"/>
      <c r="O33" s="383"/>
      <c r="P33" s="384"/>
      <c r="Q33" s="385"/>
    </row>
    <row r="34" spans="1:17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17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159" customFormat="1" ht="16.5" thickBot="1" x14ac:dyDescent="0.3">
      <c r="A37" s="527" t="s">
        <v>366</v>
      </c>
      <c r="B37" s="527" t="s">
        <v>365</v>
      </c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17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L39" s="380"/>
      <c r="M39" s="381"/>
      <c r="N39" s="382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381"/>
      <c r="N40" s="382"/>
      <c r="O40" s="412"/>
      <c r="P40" s="413"/>
      <c r="Q40" s="385"/>
    </row>
    <row r="41" spans="1:17" s="159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17" s="159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M42" s="278"/>
      <c r="N42" s="157"/>
      <c r="O42" s="412"/>
      <c r="P42" s="413"/>
      <c r="Q42" s="385"/>
    </row>
    <row r="43" spans="1:17" s="159" customFormat="1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M43" s="278"/>
      <c r="N43" s="157"/>
      <c r="O43" s="383"/>
      <c r="P43" s="384"/>
      <c r="Q43" s="385"/>
    </row>
    <row r="44" spans="1:17" s="159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17" s="159" customFormat="1" ht="16.5" thickBot="1" x14ac:dyDescent="0.3">
      <c r="A45" s="396"/>
      <c r="B45" s="397"/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17" s="159" customFormat="1" x14ac:dyDescent="0.2">
      <c r="A46" s="407"/>
      <c r="B46" s="408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17" s="159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380"/>
      <c r="M47" s="257"/>
      <c r="N47" s="423"/>
      <c r="O47" s="383"/>
      <c r="P47" s="384"/>
      <c r="Q47" s="385"/>
    </row>
    <row r="48" spans="1:17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663"/>
      <c r="M48" s="664"/>
      <c r="N48" s="665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s="159" customFormat="1" ht="13.5" thickTop="1" x14ac:dyDescent="0.2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157"/>
      <c r="M52" s="471"/>
      <c r="N52" s="157"/>
      <c r="O52" s="438"/>
      <c r="P52" s="439"/>
      <c r="Q52" s="385"/>
    </row>
    <row r="53" spans="1:17" s="159" customFormat="1" ht="13.5" thickBot="1" x14ac:dyDescent="0.25">
      <c r="A53" s="355" t="s">
        <v>0</v>
      </c>
      <c r="B53" s="356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357"/>
      <c r="K53" s="525"/>
      <c r="L53" s="393"/>
      <c r="M53" s="357"/>
      <c r="N53" s="395"/>
      <c r="O53" s="438"/>
      <c r="P53" s="439"/>
      <c r="Q53" s="385"/>
    </row>
    <row r="54" spans="1:17" s="159" customFormat="1" ht="16.5" thickBot="1" x14ac:dyDescent="0.3">
      <c r="A54" s="396"/>
      <c r="B54" s="397"/>
      <c r="C54" s="398" t="s">
        <v>19</v>
      </c>
      <c r="D54" s="399" t="s">
        <v>33</v>
      </c>
      <c r="E54" s="400" t="s">
        <v>35</v>
      </c>
      <c r="F54" s="401" t="s">
        <v>30</v>
      </c>
      <c r="G54" s="535" t="s">
        <v>14</v>
      </c>
      <c r="H54" s="400" t="s">
        <v>35</v>
      </c>
      <c r="I54" s="401" t="s">
        <v>30</v>
      </c>
      <c r="J54" s="366" t="s">
        <v>659</v>
      </c>
      <c r="K54" s="536" t="s">
        <v>38</v>
      </c>
      <c r="L54" s="404"/>
      <c r="M54" s="410"/>
      <c r="N54" s="406"/>
      <c r="O54" s="412"/>
      <c r="P54" s="413"/>
      <c r="Q54" s="385"/>
    </row>
    <row r="55" spans="1:17" s="159" customFormat="1" x14ac:dyDescent="0.2">
      <c r="A55" s="407"/>
      <c r="B55" s="408"/>
      <c r="C55" s="373"/>
      <c r="D55" s="374" t="s">
        <v>21</v>
      </c>
      <c r="E55" s="255">
        <v>0</v>
      </c>
      <c r="F55" s="375">
        <f t="shared" ref="F55:F61" si="6">C55*E55</f>
        <v>0</v>
      </c>
      <c r="G55" s="531"/>
      <c r="H55" s="377">
        <v>0</v>
      </c>
      <c r="I55" s="375">
        <f t="shared" ref="I55:I61" si="7">G55*H55</f>
        <v>0</v>
      </c>
      <c r="J55" s="378"/>
      <c r="K55" s="532">
        <f t="shared" ref="K55:K61" si="8">F55+I55+J55</f>
        <v>0</v>
      </c>
      <c r="M55" s="278"/>
      <c r="N55" s="157"/>
      <c r="O55" s="383"/>
      <c r="P55" s="384"/>
      <c r="Q55" s="385"/>
    </row>
    <row r="56" spans="1:17" s="159" customFormat="1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L56" s="380"/>
      <c r="M56" s="257"/>
      <c r="N56" s="382"/>
      <c r="O56" s="383"/>
      <c r="P56" s="384"/>
      <c r="Q56" s="385"/>
    </row>
    <row r="57" spans="1:17" s="159" customFormat="1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L57" s="380"/>
      <c r="M57" s="257"/>
      <c r="N57" s="382"/>
      <c r="O57" s="383"/>
      <c r="P57" s="384"/>
      <c r="Q57" s="385"/>
    </row>
    <row r="58" spans="1:17" s="159" customFormat="1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s="159" customFormat="1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663"/>
      <c r="M59" s="257"/>
      <c r="N59" s="665"/>
      <c r="O59" s="383"/>
      <c r="P59" s="384"/>
      <c r="Q59" s="385"/>
    </row>
    <row r="60" spans="1:17" s="159" customFormat="1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666"/>
      <c r="M60" s="257"/>
      <c r="N60" s="667"/>
      <c r="O60" s="383"/>
      <c r="P60" s="384"/>
      <c r="Q60" s="385"/>
    </row>
    <row r="61" spans="1:17" s="159" customFormat="1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257"/>
      <c r="N61" s="423"/>
      <c r="O61" s="383"/>
      <c r="P61" s="384"/>
      <c r="Q61" s="385"/>
    </row>
    <row r="62" spans="1:17" s="159" customFormat="1" ht="13.5" thickBot="1" x14ac:dyDescent="0.25">
      <c r="A62" s="389"/>
      <c r="B62" s="5"/>
      <c r="C62" s="390"/>
      <c r="D62" s="374"/>
      <c r="E62" s="255"/>
      <c r="F62" s="375"/>
      <c r="G62" s="531"/>
      <c r="H62" s="377"/>
      <c r="I62" s="375"/>
      <c r="J62" s="378"/>
      <c r="K62" s="537"/>
      <c r="M62" s="278"/>
      <c r="N62" s="157"/>
      <c r="O62" s="383"/>
      <c r="P62" s="384"/>
      <c r="Q62" s="385"/>
    </row>
    <row r="63" spans="1:17" s="159" customFormat="1" ht="13.5" thickTop="1" x14ac:dyDescent="0.2">
      <c r="A63" s="389"/>
      <c r="B63" s="414"/>
      <c r="C63" s="390"/>
      <c r="D63" s="374"/>
      <c r="E63" s="255"/>
      <c r="F63" s="375"/>
      <c r="G63" s="531"/>
      <c r="H63" s="377"/>
      <c r="I63" s="375"/>
      <c r="J63" s="391" t="s">
        <v>30</v>
      </c>
      <c r="K63" s="534">
        <f>SUM(K55:K62)</f>
        <v>0</v>
      </c>
      <c r="M63" s="278"/>
      <c r="N63" s="157"/>
      <c r="O63" s="383"/>
      <c r="P63" s="384"/>
      <c r="Q63" s="385"/>
    </row>
    <row r="64" spans="1:17" s="159" customFormat="1" ht="13.5" thickBot="1" x14ac:dyDescent="0.25">
      <c r="A64" s="355" t="s">
        <v>0</v>
      </c>
      <c r="B64" s="356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357"/>
      <c r="K64" s="525"/>
      <c r="L64" s="393"/>
      <c r="M64" s="357"/>
      <c r="N64" s="440"/>
      <c r="O64" s="383"/>
      <c r="P64" s="384"/>
      <c r="Q64" s="385"/>
    </row>
    <row r="65" spans="1:17" s="159" customFormat="1" ht="16.5" thickBot="1" x14ac:dyDescent="0.3">
      <c r="A65" s="396"/>
      <c r="B65" s="397"/>
      <c r="C65" s="398" t="s">
        <v>19</v>
      </c>
      <c r="D65" s="399" t="s">
        <v>33</v>
      </c>
      <c r="E65" s="400" t="s">
        <v>35</v>
      </c>
      <c r="F65" s="401" t="s">
        <v>30</v>
      </c>
      <c r="G65" s="535" t="s">
        <v>14</v>
      </c>
      <c r="H65" s="400" t="s">
        <v>35</v>
      </c>
      <c r="I65" s="401" t="s">
        <v>30</v>
      </c>
      <c r="J65" s="366" t="s">
        <v>659</v>
      </c>
      <c r="K65" s="536" t="s">
        <v>38</v>
      </c>
      <c r="L65" s="404"/>
      <c r="M65" s="410"/>
      <c r="N65" s="411"/>
      <c r="O65" s="383"/>
      <c r="P65" s="384"/>
      <c r="Q65" s="385"/>
    </row>
    <row r="66" spans="1:17" s="159" customFormat="1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s="159" customFormat="1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s="159" customFormat="1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L68" s="380"/>
      <c r="M68" s="381"/>
      <c r="N68" s="382"/>
      <c r="O68" s="383"/>
      <c r="P68" s="384"/>
      <c r="Q68" s="385"/>
    </row>
    <row r="69" spans="1:17" s="159" customFormat="1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M69" s="278"/>
      <c r="N69" s="157"/>
      <c r="O69" s="383"/>
      <c r="P69" s="384"/>
      <c r="Q69" s="385"/>
    </row>
    <row r="70" spans="1:17" s="159" customFormat="1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M70" s="278"/>
      <c r="N70" s="157"/>
      <c r="O70" s="383"/>
      <c r="P70" s="384"/>
      <c r="Q70" s="385"/>
    </row>
    <row r="71" spans="1:17" s="159" customFormat="1" ht="13.5" thickBot="1" x14ac:dyDescent="0.25">
      <c r="A71" s="389"/>
      <c r="B71" s="5"/>
      <c r="C71" s="390"/>
      <c r="D71" s="374"/>
      <c r="E71" s="255"/>
      <c r="F71" s="375"/>
      <c r="G71" s="531"/>
      <c r="H71" s="377"/>
      <c r="I71" s="375"/>
      <c r="J71" s="378"/>
      <c r="K71" s="537"/>
      <c r="M71" s="278"/>
      <c r="N71" s="157"/>
      <c r="O71" s="383"/>
      <c r="P71" s="384"/>
      <c r="Q71" s="385"/>
    </row>
    <row r="72" spans="1:17" s="159" customFormat="1" ht="13.5" thickTop="1" x14ac:dyDescent="0.2">
      <c r="A72" s="389"/>
      <c r="B72" s="414"/>
      <c r="C72" s="390"/>
      <c r="D72" s="374"/>
      <c r="E72" s="255"/>
      <c r="F72" s="375"/>
      <c r="G72" s="531"/>
      <c r="H72" s="377"/>
      <c r="I72" s="375"/>
      <c r="J72" s="391" t="s">
        <v>30</v>
      </c>
      <c r="K72" s="534">
        <f>SUM(K66:K71)</f>
        <v>0</v>
      </c>
      <c r="M72" s="278"/>
      <c r="N72" s="157"/>
      <c r="O72" s="383"/>
      <c r="P72" s="384"/>
      <c r="Q72" s="385"/>
    </row>
    <row r="73" spans="1:17" s="159" customFormat="1" ht="13.5" thickBot="1" x14ac:dyDescent="0.25">
      <c r="A73" s="355" t="s">
        <v>0</v>
      </c>
      <c r="B73" s="356" t="s">
        <v>1</v>
      </c>
      <c r="C73" s="948" t="s">
        <v>656</v>
      </c>
      <c r="D73" s="948"/>
      <c r="E73" s="948"/>
      <c r="F73" s="948"/>
      <c r="G73" s="948" t="s">
        <v>34</v>
      </c>
      <c r="H73" s="948"/>
      <c r="I73" s="948"/>
      <c r="J73" s="357"/>
      <c r="K73" s="525"/>
      <c r="L73" s="393"/>
      <c r="M73" s="394"/>
      <c r="N73" s="395"/>
      <c r="O73" s="383"/>
      <c r="P73" s="384"/>
      <c r="Q73" s="385"/>
    </row>
    <row r="74" spans="1:17" s="159" customFormat="1" ht="16.5" thickBot="1" x14ac:dyDescent="0.3">
      <c r="A74" s="396"/>
      <c r="B74" s="397"/>
      <c r="C74" s="398" t="s">
        <v>19</v>
      </c>
      <c r="D74" s="399" t="s">
        <v>33</v>
      </c>
      <c r="E74" s="400" t="s">
        <v>35</v>
      </c>
      <c r="F74" s="401" t="s">
        <v>30</v>
      </c>
      <c r="G74" s="535" t="s">
        <v>14</v>
      </c>
      <c r="H74" s="400" t="s">
        <v>35</v>
      </c>
      <c r="I74" s="401" t="s">
        <v>30</v>
      </c>
      <c r="J74" s="366" t="s">
        <v>659</v>
      </c>
      <c r="K74" s="536" t="s">
        <v>38</v>
      </c>
      <c r="L74" s="404"/>
      <c r="M74" s="405"/>
      <c r="N74" s="406"/>
      <c r="O74" s="383"/>
      <c r="P74" s="384"/>
      <c r="Q74" s="385"/>
    </row>
    <row r="75" spans="1:17" s="159" customFormat="1" x14ac:dyDescent="0.2">
      <c r="A75" s="407"/>
      <c r="B75" s="408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L75" s="380"/>
      <c r="M75" s="381"/>
      <c r="N75" s="382"/>
      <c r="O75" s="383"/>
      <c r="P75" s="384"/>
      <c r="Q75" s="385"/>
    </row>
    <row r="76" spans="1:17" s="159" customFormat="1" x14ac:dyDescent="0.2">
      <c r="A76" s="372"/>
      <c r="B76" s="5"/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L76" s="663"/>
      <c r="M76" s="664"/>
      <c r="N76" s="665"/>
      <c r="O76" s="383"/>
      <c r="P76" s="384"/>
      <c r="Q76" s="385"/>
    </row>
    <row r="77" spans="1:17" s="159" customFormat="1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s="159" customFormat="1" ht="13.5" thickTop="1" x14ac:dyDescent="0.2">
      <c r="A79" s="389"/>
      <c r="B79" s="157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SUM(K75:K78)</f>
        <v>0</v>
      </c>
      <c r="L79" s="380"/>
      <c r="M79" s="381"/>
      <c r="N79" s="382"/>
      <c r="O79" s="383"/>
      <c r="P79" s="384"/>
      <c r="Q79" s="385"/>
    </row>
    <row r="80" spans="1:17" s="159" customFormat="1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s="159" customFormat="1" ht="16.5" thickBot="1" x14ac:dyDescent="0.3">
      <c r="A81" s="396"/>
      <c r="B81" s="397"/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s="159" customFormat="1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x14ac:dyDescent="0.2">
      <c r="A84" s="372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M84" s="278"/>
      <c r="N84" s="157"/>
      <c r="O84" s="383"/>
      <c r="P84" s="384"/>
      <c r="Q84" s="385"/>
    </row>
    <row r="85" spans="1:17" s="159" customFormat="1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L85" s="380"/>
      <c r="M85" s="381"/>
      <c r="N85" s="382"/>
      <c r="O85" s="383"/>
      <c r="P85" s="384"/>
      <c r="Q85" s="385"/>
    </row>
    <row r="86" spans="1:17" s="159" customFormat="1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L86" s="380"/>
      <c r="M86" s="381"/>
      <c r="N86" s="382"/>
      <c r="O86" s="383"/>
      <c r="P86" s="384"/>
      <c r="Q86" s="385"/>
    </row>
    <row r="87" spans="1:17" s="159" customFormat="1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L87" s="380"/>
      <c r="M87" s="381"/>
      <c r="N87" s="382"/>
      <c r="O87" s="383"/>
      <c r="P87" s="384"/>
      <c r="Q87" s="385"/>
    </row>
    <row r="88" spans="1:17" s="159" customFormat="1" ht="13.5" thickTop="1" x14ac:dyDescent="0.2">
      <c r="A88" s="389"/>
      <c r="B88" s="414"/>
      <c r="C88" s="390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M88" s="278"/>
      <c r="N88" s="157"/>
      <c r="O88" s="383"/>
      <c r="P88" s="384"/>
      <c r="Q88" s="385"/>
    </row>
    <row r="89" spans="1:17" s="159" customFormat="1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s="159" customFormat="1" ht="16.5" thickBot="1" x14ac:dyDescent="0.3">
      <c r="A90" s="396"/>
      <c r="B90" s="397"/>
      <c r="C90" s="398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s="159" customFormat="1" x14ac:dyDescent="0.2">
      <c r="A91" s="407"/>
      <c r="B91" s="408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380"/>
      <c r="M91" s="381"/>
      <c r="N91" s="382"/>
      <c r="O91" s="383"/>
      <c r="P91" s="384"/>
      <c r="Q91" s="385"/>
    </row>
    <row r="92" spans="1:17" s="159" customFormat="1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669"/>
      <c r="M92" s="670"/>
      <c r="N92" s="671"/>
      <c r="O92" s="383"/>
      <c r="P92" s="384"/>
      <c r="Q92" s="385"/>
    </row>
    <row r="93" spans="1:17" s="159" customFormat="1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669"/>
      <c r="M93" s="670"/>
      <c r="N93" s="672"/>
      <c r="O93" s="383"/>
      <c r="P93" s="384"/>
      <c r="Q93" s="385"/>
    </row>
    <row r="94" spans="1:17" s="159" customFormat="1" x14ac:dyDescent="0.2">
      <c r="A94" s="372"/>
      <c r="B94" s="5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s="159" customFormat="1" ht="13.5" thickBot="1" x14ac:dyDescent="0.25">
      <c r="A95" s="389"/>
      <c r="B95" s="414"/>
      <c r="C95" s="373"/>
      <c r="D95" s="374"/>
      <c r="E95" s="255"/>
      <c r="F95" s="375"/>
      <c r="G95" s="531"/>
      <c r="H95" s="377"/>
      <c r="I95" s="375"/>
      <c r="J95" s="378"/>
      <c r="K95" s="532"/>
      <c r="L95" s="669"/>
      <c r="M95" s="670"/>
      <c r="N95" s="672"/>
      <c r="O95" s="383"/>
      <c r="P95" s="384"/>
      <c r="Q95" s="385"/>
    </row>
    <row r="96" spans="1:17" s="159" customFormat="1" ht="14.25" thickTop="1" thickBot="1" x14ac:dyDescent="0.25">
      <c r="A96" s="472"/>
      <c r="B96" s="156"/>
      <c r="C96" s="473"/>
      <c r="D96" s="474"/>
      <c r="E96" s="475"/>
      <c r="F96" s="476"/>
      <c r="G96" s="636"/>
      <c r="H96" s="475"/>
      <c r="I96" s="476"/>
      <c r="J96" s="478" t="s">
        <v>30</v>
      </c>
      <c r="K96" s="637">
        <f>SUM(K91:K95)</f>
        <v>0</v>
      </c>
      <c r="L96" s="669"/>
      <c r="M96" s="670"/>
      <c r="N96" s="672"/>
      <c r="O96" s="383"/>
      <c r="P96" s="384"/>
      <c r="Q96" s="385"/>
    </row>
    <row r="97" spans="1:17" s="159" customFormat="1" ht="14.1" customHeight="1" thickBot="1" x14ac:dyDescent="0.3">
      <c r="A97" s="480"/>
      <c r="B97" s="481"/>
      <c r="C97" s="482"/>
      <c r="D97" s="482"/>
      <c r="E97" s="483"/>
      <c r="F97" s="978" t="s">
        <v>658</v>
      </c>
      <c r="G97" s="1001" t="s">
        <v>682</v>
      </c>
      <c r="H97" s="483"/>
      <c r="I97" s="971" t="s">
        <v>657</v>
      </c>
      <c r="J97" s="967" t="s">
        <v>683</v>
      </c>
      <c r="K97" s="965" t="s">
        <v>31</v>
      </c>
      <c r="L97" s="673"/>
      <c r="M97" s="674"/>
      <c r="N97" s="675"/>
      <c r="O97" s="462"/>
      <c r="P97" s="463"/>
      <c r="Q97" s="464"/>
    </row>
    <row r="98" spans="1:17" s="159" customFormat="1" ht="15.75" thickTop="1" x14ac:dyDescent="0.2">
      <c r="A98" s="484" t="s">
        <v>32</v>
      </c>
      <c r="B98" s="973" t="s">
        <v>665</v>
      </c>
      <c r="C98" s="485"/>
      <c r="D98" s="486"/>
      <c r="E98" s="486"/>
      <c r="F98" s="979"/>
      <c r="G98" s="1002"/>
      <c r="H98" s="487"/>
      <c r="I98" s="972"/>
      <c r="J98" s="968"/>
      <c r="K98" s="966"/>
      <c r="M98" s="278"/>
      <c r="N98" s="157"/>
      <c r="O98" s="304"/>
      <c r="P98" s="304"/>
    </row>
    <row r="99" spans="1:17" s="159" customFormat="1" ht="15" x14ac:dyDescent="0.25">
      <c r="A99" s="828">
        <f>K99/E6</f>
        <v>0</v>
      </c>
      <c r="B99" s="973"/>
      <c r="C99" s="486"/>
      <c r="D99" s="486"/>
      <c r="E99" s="486"/>
      <c r="F99" s="961">
        <f>SUM(F91:F95,F82:F87,F75:F78,F66:F71,F55:F61,F46:F51,F38:F42,F27:F34,F11:F23)</f>
        <v>0</v>
      </c>
      <c r="G99" s="1006">
        <f>SUM(G91:G95,G82:G87,G75:G78,G66:G71,G55:G61,G46:G51,G38:G42,G27:G34,G11:G23)</f>
        <v>0</v>
      </c>
      <c r="H99" s="487"/>
      <c r="I99" s="961">
        <f>SUM(I91:I95,I82:I87,I75:I78,I66:I71,I55:I61,I46:I51,I38:I42,I27:I34,I11:I23)</f>
        <v>0</v>
      </c>
      <c r="J99" s="961">
        <f>SUM(J91:J95,J82:J87,J75:J78,J66:J71,J55:J61,J46:J51,J38:J42,J27:J34,J11:J23)</f>
        <v>0</v>
      </c>
      <c r="K99" s="963">
        <f>SUM(K96,K88,K79,K72,K63,K52,K43,K35,K24)</f>
        <v>0</v>
      </c>
      <c r="M99" s="278"/>
      <c r="N99" s="157"/>
      <c r="O99" s="304"/>
      <c r="P99" s="304"/>
    </row>
    <row r="100" spans="1:17" s="159" customFormat="1" ht="15" thickBot="1" x14ac:dyDescent="0.25">
      <c r="A100" s="484"/>
      <c r="B100" s="552"/>
      <c r="C100" s="490"/>
      <c r="D100" s="490"/>
      <c r="E100" s="490"/>
      <c r="F100" s="962"/>
      <c r="G100" s="1007"/>
      <c r="H100" s="490"/>
      <c r="I100" s="962"/>
      <c r="J100" s="962"/>
      <c r="K100" s="964"/>
      <c r="M100" s="278"/>
      <c r="N100" s="157"/>
      <c r="O100" s="304"/>
      <c r="P100" s="304"/>
    </row>
    <row r="101" spans="1:17" s="159" customFormat="1" ht="13.5" thickBot="1" x14ac:dyDescent="0.25">
      <c r="A101" s="491"/>
      <c r="B101" s="492"/>
      <c r="C101" s="492"/>
      <c r="D101" s="492"/>
      <c r="E101" s="492"/>
      <c r="F101" s="492"/>
      <c r="G101" s="492"/>
      <c r="H101" s="492"/>
      <c r="I101" s="492"/>
      <c r="J101" s="492"/>
      <c r="K101" s="493"/>
      <c r="M101" s="278"/>
      <c r="N101" s="157"/>
      <c r="O101" s="304"/>
      <c r="P101" s="304"/>
    </row>
    <row r="102" spans="1:17" s="159" customFormat="1" x14ac:dyDescent="0.2">
      <c r="C102" s="657"/>
      <c r="D102" s="657"/>
      <c r="M102" s="278"/>
      <c r="N102" s="157"/>
      <c r="O102" s="304"/>
      <c r="P102" s="304"/>
    </row>
    <row r="103" spans="1:17" s="159" customFormat="1" x14ac:dyDescent="0.2">
      <c r="C103" s="657"/>
      <c r="D103" s="657"/>
      <c r="M103" s="278"/>
      <c r="N103" s="157"/>
      <c r="O103" s="304"/>
      <c r="P103" s="304"/>
    </row>
    <row r="104" spans="1:17" s="159" customFormat="1" x14ac:dyDescent="0.2">
      <c r="C104" s="657"/>
      <c r="D104" s="657"/>
      <c r="M104" s="278"/>
      <c r="N104" s="157"/>
      <c r="O104" s="304"/>
      <c r="P104" s="304"/>
    </row>
    <row r="105" spans="1:17" s="159" customFormat="1" x14ac:dyDescent="0.2">
      <c r="C105" s="657"/>
      <c r="D105" s="657"/>
      <c r="M105" s="278"/>
      <c r="N105" s="157"/>
      <c r="O105" s="304"/>
      <c r="P105" s="304"/>
    </row>
    <row r="106" spans="1:17" s="159" customFormat="1" x14ac:dyDescent="0.2">
      <c r="C106" s="657"/>
      <c r="D106" s="657"/>
      <c r="M106" s="278"/>
      <c r="N106" s="157"/>
      <c r="O106" s="304"/>
      <c r="P106" s="304"/>
    </row>
    <row r="107" spans="1:17" s="159" customFormat="1" x14ac:dyDescent="0.2">
      <c r="C107" s="657"/>
      <c r="D107" s="657"/>
      <c r="M107" s="278"/>
      <c r="N107" s="157"/>
      <c r="O107" s="304"/>
      <c r="P107" s="304"/>
    </row>
    <row r="108" spans="1:17" s="159" customFormat="1" x14ac:dyDescent="0.2">
      <c r="C108" s="657"/>
      <c r="D108" s="657"/>
      <c r="M108" s="278"/>
      <c r="N108" s="157"/>
      <c r="O108" s="304"/>
      <c r="P108" s="304"/>
    </row>
    <row r="109" spans="1:17" s="159" customFormat="1" x14ac:dyDescent="0.2">
      <c r="C109" s="657"/>
      <c r="D109" s="657"/>
      <c r="M109" s="278"/>
      <c r="N109" s="157"/>
      <c r="O109" s="304"/>
      <c r="P109" s="304"/>
    </row>
    <row r="110" spans="1:17" s="159" customFormat="1" x14ac:dyDescent="0.2">
      <c r="C110" s="657"/>
      <c r="D110" s="657"/>
      <c r="M110" s="278"/>
      <c r="N110" s="157"/>
      <c r="O110" s="304"/>
      <c r="P110" s="304"/>
    </row>
    <row r="111" spans="1:17" s="159" customFormat="1" x14ac:dyDescent="0.2">
      <c r="C111" s="657"/>
      <c r="D111" s="657"/>
      <c r="M111" s="278"/>
      <c r="N111" s="157"/>
      <c r="O111" s="304"/>
      <c r="P111" s="304"/>
    </row>
    <row r="112" spans="1:17" s="159" customFormat="1" x14ac:dyDescent="0.2">
      <c r="C112" s="657"/>
      <c r="D112" s="657"/>
      <c r="M112" s="278"/>
      <c r="N112" s="157"/>
      <c r="O112" s="304"/>
      <c r="P112" s="304"/>
    </row>
    <row r="113" spans="3:16" s="159" customFormat="1" x14ac:dyDescent="0.2">
      <c r="C113" s="657"/>
      <c r="D113" s="657"/>
      <c r="M113" s="278"/>
      <c r="N113" s="157"/>
      <c r="O113" s="304"/>
      <c r="P113" s="304"/>
    </row>
    <row r="114" spans="3:16" s="159" customFormat="1" x14ac:dyDescent="0.2">
      <c r="C114" s="657"/>
      <c r="D114" s="657"/>
      <c r="M114" s="278"/>
      <c r="N114" s="157"/>
      <c r="O114" s="304"/>
      <c r="P114" s="304"/>
    </row>
    <row r="115" spans="3:16" s="159" customFormat="1" x14ac:dyDescent="0.2">
      <c r="C115" s="657"/>
      <c r="D115" s="657"/>
      <c r="M115" s="278"/>
      <c r="N115" s="157"/>
      <c r="O115" s="304"/>
      <c r="P115" s="304"/>
    </row>
    <row r="116" spans="3:16" s="159" customFormat="1" x14ac:dyDescent="0.2">
      <c r="C116" s="657"/>
      <c r="D116" s="657"/>
      <c r="M116" s="278"/>
      <c r="N116" s="157"/>
      <c r="O116" s="304"/>
      <c r="P116" s="304"/>
    </row>
    <row r="117" spans="3:16" s="159" customFormat="1" x14ac:dyDescent="0.2">
      <c r="C117" s="657"/>
      <c r="D117" s="657"/>
      <c r="M117" s="278"/>
      <c r="N117" s="157"/>
      <c r="O117" s="304"/>
      <c r="P117" s="304"/>
    </row>
    <row r="118" spans="3:16" s="159" customFormat="1" x14ac:dyDescent="0.2">
      <c r="C118" s="657"/>
      <c r="D118" s="657"/>
      <c r="M118" s="278"/>
      <c r="N118" s="157"/>
      <c r="O118" s="304"/>
      <c r="P118" s="304"/>
    </row>
    <row r="119" spans="3:16" s="159" customFormat="1" x14ac:dyDescent="0.2">
      <c r="C119" s="657"/>
      <c r="D119" s="657"/>
      <c r="M119" s="278"/>
      <c r="N119" s="157"/>
      <c r="O119" s="304"/>
      <c r="P119" s="304"/>
    </row>
    <row r="120" spans="3:16" s="159" customFormat="1" x14ac:dyDescent="0.2">
      <c r="C120" s="657"/>
      <c r="D120" s="657"/>
      <c r="M120" s="278"/>
      <c r="N120" s="157"/>
      <c r="O120" s="304"/>
      <c r="P120" s="304"/>
    </row>
    <row r="121" spans="3:16" s="159" customFormat="1" x14ac:dyDescent="0.2">
      <c r="C121" s="657"/>
      <c r="D121" s="657"/>
      <c r="M121" s="278"/>
      <c r="N121" s="157"/>
      <c r="O121" s="304"/>
      <c r="P121" s="304"/>
    </row>
    <row r="122" spans="3:16" s="159" customFormat="1" x14ac:dyDescent="0.2">
      <c r="C122" s="657"/>
      <c r="D122" s="657"/>
      <c r="M122" s="278"/>
      <c r="N122" s="157"/>
      <c r="O122" s="304"/>
      <c r="P122" s="304"/>
    </row>
    <row r="123" spans="3:16" s="159" customFormat="1" x14ac:dyDescent="0.2">
      <c r="C123" s="657"/>
      <c r="D123" s="657"/>
      <c r="M123" s="278"/>
      <c r="N123" s="157"/>
      <c r="O123" s="304"/>
      <c r="P123" s="304"/>
    </row>
    <row r="124" spans="3:16" s="159" customFormat="1" x14ac:dyDescent="0.2">
      <c r="C124" s="657"/>
      <c r="D124" s="657"/>
      <c r="M124" s="278"/>
      <c r="N124" s="157"/>
      <c r="O124" s="304"/>
      <c r="P124" s="304"/>
    </row>
    <row r="125" spans="3:16" s="159" customFormat="1" x14ac:dyDescent="0.2">
      <c r="C125" s="657"/>
      <c r="D125" s="657"/>
      <c r="M125" s="278"/>
      <c r="N125" s="157"/>
      <c r="O125" s="304"/>
      <c r="P125" s="304"/>
    </row>
    <row r="126" spans="3:16" s="159" customFormat="1" x14ac:dyDescent="0.2">
      <c r="C126" s="657"/>
      <c r="D126" s="657"/>
      <c r="M126" s="278"/>
      <c r="N126" s="157"/>
      <c r="O126" s="304"/>
      <c r="P126" s="304"/>
    </row>
    <row r="127" spans="3:16" s="159" customFormat="1" x14ac:dyDescent="0.2">
      <c r="C127" s="657"/>
      <c r="D127" s="657"/>
      <c r="M127" s="278"/>
      <c r="N127" s="157"/>
      <c r="O127" s="304"/>
      <c r="P127" s="304"/>
    </row>
    <row r="128" spans="3:16" s="159" customFormat="1" x14ac:dyDescent="0.2">
      <c r="C128" s="657"/>
      <c r="D128" s="657"/>
      <c r="M128" s="278"/>
      <c r="N128" s="157"/>
      <c r="O128" s="304"/>
      <c r="P128" s="304"/>
    </row>
    <row r="129" spans="3:16" s="159" customFormat="1" x14ac:dyDescent="0.2">
      <c r="C129" s="657"/>
      <c r="D129" s="657"/>
      <c r="M129" s="278"/>
      <c r="N129" s="157"/>
      <c r="O129" s="304"/>
      <c r="P129" s="304"/>
    </row>
    <row r="130" spans="3:16" s="159" customFormat="1" x14ac:dyDescent="0.2">
      <c r="C130" s="657"/>
      <c r="D130" s="657"/>
      <c r="M130" s="278"/>
      <c r="N130" s="157"/>
      <c r="O130" s="304"/>
      <c r="P130" s="304"/>
    </row>
    <row r="131" spans="3:16" s="159" customFormat="1" x14ac:dyDescent="0.2">
      <c r="C131" s="657"/>
      <c r="D131" s="657"/>
      <c r="M131" s="278"/>
      <c r="N131" s="157"/>
      <c r="O131" s="304"/>
      <c r="P131" s="304"/>
    </row>
    <row r="132" spans="3:16" s="159" customFormat="1" x14ac:dyDescent="0.2">
      <c r="C132" s="657"/>
      <c r="D132" s="657"/>
      <c r="M132" s="278"/>
      <c r="N132" s="157"/>
      <c r="O132" s="304"/>
      <c r="P132" s="304"/>
    </row>
    <row r="133" spans="3:16" s="159" customFormat="1" x14ac:dyDescent="0.2">
      <c r="C133" s="657"/>
      <c r="D133" s="657"/>
      <c r="M133" s="278"/>
      <c r="N133" s="157"/>
      <c r="O133" s="304"/>
      <c r="P133" s="304"/>
    </row>
    <row r="134" spans="3:16" s="159" customFormat="1" x14ac:dyDescent="0.2">
      <c r="C134" s="657"/>
      <c r="D134" s="657"/>
      <c r="M134" s="278"/>
      <c r="N134" s="157"/>
      <c r="O134" s="304"/>
      <c r="P134" s="304"/>
    </row>
    <row r="135" spans="3:16" s="159" customFormat="1" x14ac:dyDescent="0.2">
      <c r="C135" s="657"/>
      <c r="D135" s="657"/>
      <c r="M135" s="278"/>
      <c r="N135" s="157"/>
      <c r="O135" s="304"/>
      <c r="P135" s="304"/>
    </row>
    <row r="136" spans="3:16" s="159" customFormat="1" x14ac:dyDescent="0.2">
      <c r="C136" s="657"/>
      <c r="D136" s="657"/>
      <c r="M136" s="278"/>
      <c r="N136" s="157"/>
      <c r="O136" s="304"/>
      <c r="P136" s="304"/>
    </row>
    <row r="137" spans="3:16" s="159" customFormat="1" x14ac:dyDescent="0.2">
      <c r="C137" s="657"/>
      <c r="D137" s="657"/>
      <c r="M137" s="278"/>
      <c r="N137" s="157"/>
      <c r="O137" s="304"/>
      <c r="P137" s="304"/>
    </row>
    <row r="138" spans="3:16" s="159" customFormat="1" x14ac:dyDescent="0.2">
      <c r="C138" s="657"/>
      <c r="D138" s="657"/>
      <c r="M138" s="278"/>
      <c r="N138" s="157"/>
      <c r="O138" s="304"/>
      <c r="P138" s="304"/>
    </row>
    <row r="139" spans="3:16" s="159" customFormat="1" x14ac:dyDescent="0.2">
      <c r="C139" s="657"/>
      <c r="D139" s="657"/>
      <c r="M139" s="278"/>
      <c r="N139" s="157"/>
      <c r="O139" s="304"/>
      <c r="P139" s="304"/>
    </row>
    <row r="140" spans="3:16" s="159" customFormat="1" x14ac:dyDescent="0.2">
      <c r="C140" s="657"/>
      <c r="D140" s="657"/>
      <c r="M140" s="278"/>
      <c r="N140" s="157"/>
      <c r="O140" s="304"/>
      <c r="P140" s="304"/>
    </row>
    <row r="141" spans="3:16" s="159" customFormat="1" x14ac:dyDescent="0.2">
      <c r="C141" s="657"/>
      <c r="D141" s="657"/>
      <c r="M141" s="278"/>
      <c r="N141" s="157"/>
      <c r="O141" s="304"/>
      <c r="P141" s="304"/>
    </row>
    <row r="142" spans="3:16" s="159" customFormat="1" x14ac:dyDescent="0.2">
      <c r="C142" s="657"/>
      <c r="D142" s="657"/>
      <c r="M142" s="278"/>
      <c r="N142" s="157"/>
      <c r="O142" s="304"/>
      <c r="P142" s="304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7" top="0.75" bottom="0.75" header="0.5" footer="0.5"/>
  <pageSetup scale="72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pageSetUpPr fitToPage="1"/>
  </sheetPr>
  <dimension ref="A1:Q273"/>
  <sheetViews>
    <sheetView zoomScale="90" zoomScaleNormal="75" zoomScaleSheetLayoutView="90" zoomScalePageLayoutView="75" workbookViewId="0">
      <selection activeCell="N19" sqref="N19"/>
    </sheetView>
  </sheetViews>
  <sheetFormatPr defaultColWidth="9.140625" defaultRowHeight="12.75" x14ac:dyDescent="0.2"/>
  <cols>
    <col min="1" max="1" width="12.140625" style="157" bestFit="1" customWidth="1"/>
    <col min="2" max="2" width="48.5703125" style="157" bestFit="1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bestFit="1" customWidth="1"/>
    <col min="12" max="12" width="19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150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368</v>
      </c>
      <c r="B10" s="527" t="s">
        <v>369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853"/>
      <c r="B11" s="848" t="s">
        <v>1033</v>
      </c>
      <c r="C11" s="857">
        <f>E6</f>
        <v>1747</v>
      </c>
      <c r="D11" s="840" t="s">
        <v>730</v>
      </c>
      <c r="E11" s="841">
        <v>3.5</v>
      </c>
      <c r="F11" s="842">
        <v>0</v>
      </c>
      <c r="G11" s="849"/>
      <c r="H11" s="844">
        <v>0</v>
      </c>
      <c r="I11" s="842">
        <f t="shared" ref="I11:I22" si="0">G11*H11</f>
        <v>0</v>
      </c>
      <c r="J11" s="845">
        <f>M13</f>
        <v>6938</v>
      </c>
      <c r="K11" s="850">
        <f t="shared" ref="K11:K22" si="1">F11+I11+J11</f>
        <v>6938</v>
      </c>
      <c r="L11" s="380" t="s">
        <v>1091</v>
      </c>
      <c r="M11" s="381">
        <v>29600</v>
      </c>
      <c r="N11" s="382"/>
      <c r="O11" s="383"/>
      <c r="P11" s="384"/>
      <c r="Q11" s="385"/>
    </row>
    <row r="12" spans="1:17" ht="25.5" x14ac:dyDescent="0.2">
      <c r="A12" s="372"/>
      <c r="B12" s="5"/>
      <c r="C12" s="373"/>
      <c r="D12" s="374" t="s">
        <v>21</v>
      </c>
      <c r="E12" s="255">
        <v>0</v>
      </c>
      <c r="F12" s="375">
        <f t="shared" ref="F12:F22" si="2">C12*E12</f>
        <v>0</v>
      </c>
      <c r="G12" s="531"/>
      <c r="H12" s="377">
        <v>0</v>
      </c>
      <c r="I12" s="375">
        <f t="shared" si="0"/>
        <v>0</v>
      </c>
      <c r="J12" s="378"/>
      <c r="K12" s="532">
        <f t="shared" si="1"/>
        <v>0</v>
      </c>
      <c r="L12" s="157" t="s">
        <v>1092</v>
      </c>
      <c r="M12" s="471">
        <v>7920</v>
      </c>
      <c r="N12" s="887" t="s">
        <v>1143</v>
      </c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2"/>
        <v>0</v>
      </c>
      <c r="G13" s="531"/>
      <c r="H13" s="377">
        <v>0</v>
      </c>
      <c r="I13" s="375">
        <f t="shared" si="0"/>
        <v>0</v>
      </c>
      <c r="J13" s="378"/>
      <c r="K13" s="532">
        <f t="shared" si="1"/>
        <v>0</v>
      </c>
      <c r="L13" s="157" t="s">
        <v>1093</v>
      </c>
      <c r="M13" s="471">
        <v>6938</v>
      </c>
      <c r="N13" s="382" t="s">
        <v>1144</v>
      </c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2"/>
        <v>0</v>
      </c>
      <c r="G14" s="531"/>
      <c r="H14" s="377">
        <v>0</v>
      </c>
      <c r="I14" s="375">
        <f t="shared" si="0"/>
        <v>0</v>
      </c>
      <c r="J14" s="378"/>
      <c r="K14" s="532">
        <f t="shared" si="1"/>
        <v>0</v>
      </c>
      <c r="L14" s="157" t="s">
        <v>1094</v>
      </c>
      <c r="M14" s="471">
        <v>13990</v>
      </c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2"/>
        <v>0</v>
      </c>
      <c r="G15" s="531"/>
      <c r="H15" s="377">
        <v>0</v>
      </c>
      <c r="I15" s="375">
        <f t="shared" si="0"/>
        <v>0</v>
      </c>
      <c r="J15" s="378"/>
      <c r="K15" s="532">
        <f t="shared" si="1"/>
        <v>0</v>
      </c>
      <c r="L15" s="157" t="s">
        <v>1141</v>
      </c>
      <c r="M15" s="471">
        <v>32500</v>
      </c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2"/>
        <v>0</v>
      </c>
      <c r="G16" s="531"/>
      <c r="H16" s="377">
        <v>0</v>
      </c>
      <c r="I16" s="375">
        <f t="shared" si="0"/>
        <v>0</v>
      </c>
      <c r="J16" s="378"/>
      <c r="K16" s="532">
        <f t="shared" si="1"/>
        <v>0</v>
      </c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2"/>
        <v>0</v>
      </c>
      <c r="G17" s="531"/>
      <c r="H17" s="377">
        <v>0</v>
      </c>
      <c r="I17" s="375">
        <f t="shared" si="0"/>
        <v>0</v>
      </c>
      <c r="J17" s="378"/>
      <c r="K17" s="532">
        <f t="shared" si="1"/>
        <v>0</v>
      </c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2"/>
        <v>0</v>
      </c>
      <c r="G18" s="531"/>
      <c r="H18" s="377">
        <v>0</v>
      </c>
      <c r="I18" s="375">
        <f t="shared" si="0"/>
        <v>0</v>
      </c>
      <c r="J18" s="378"/>
      <c r="K18" s="532">
        <f t="shared" si="1"/>
        <v>0</v>
      </c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2"/>
        <v>0</v>
      </c>
      <c r="G19" s="531"/>
      <c r="H19" s="377">
        <v>0</v>
      </c>
      <c r="I19" s="375">
        <f t="shared" si="0"/>
        <v>0</v>
      </c>
      <c r="J19" s="378"/>
      <c r="K19" s="532">
        <f t="shared" si="1"/>
        <v>0</v>
      </c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2"/>
        <v>0</v>
      </c>
      <c r="G20" s="531"/>
      <c r="H20" s="377">
        <v>0</v>
      </c>
      <c r="I20" s="375">
        <f t="shared" si="0"/>
        <v>0</v>
      </c>
      <c r="J20" s="378"/>
      <c r="K20" s="532">
        <f t="shared" si="1"/>
        <v>0</v>
      </c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2"/>
        <v>0</v>
      </c>
      <c r="G21" s="531"/>
      <c r="H21" s="377">
        <v>0</v>
      </c>
      <c r="I21" s="375">
        <f t="shared" si="0"/>
        <v>0</v>
      </c>
      <c r="J21" s="378"/>
      <c r="K21" s="532">
        <f t="shared" si="1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2"/>
        <v>0</v>
      </c>
      <c r="G22" s="531"/>
      <c r="H22" s="377">
        <v>0</v>
      </c>
      <c r="I22" s="375">
        <f t="shared" si="0"/>
        <v>0</v>
      </c>
      <c r="J22" s="378"/>
      <c r="K22" s="532">
        <f t="shared" si="1"/>
        <v>0</v>
      </c>
      <c r="L22" s="157"/>
      <c r="M22" s="471"/>
      <c r="O22" s="383"/>
      <c r="P22" s="384"/>
      <c r="Q22" s="385"/>
    </row>
    <row r="23" spans="1:17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O23" s="383"/>
      <c r="P23" s="384"/>
      <c r="Q23" s="385"/>
    </row>
    <row r="24" spans="1:17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6938</v>
      </c>
      <c r="L24" s="157"/>
      <c r="M24" s="471"/>
      <c r="O24" s="383"/>
      <c r="P24" s="384"/>
      <c r="Q24" s="385"/>
    </row>
    <row r="25" spans="1:17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s="159" customFormat="1" ht="16.5" thickBot="1" x14ac:dyDescent="0.3">
      <c r="A26" s="396"/>
      <c r="B26" s="397"/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x14ac:dyDescent="0.2">
      <c r="A27" s="407"/>
      <c r="B27" s="408"/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L27" s="157"/>
      <c r="M27" s="471"/>
      <c r="N27" s="157"/>
      <c r="O27" s="383"/>
      <c r="P27" s="384"/>
      <c r="Q27" s="385"/>
    </row>
    <row r="28" spans="1:17" s="159" customFormat="1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540"/>
      <c r="M32" s="257"/>
      <c r="N32" s="423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157"/>
      <c r="M33" s="471"/>
      <c r="N33" s="157"/>
      <c r="O33" s="383"/>
      <c r="P33" s="384"/>
      <c r="Q33" s="385"/>
    </row>
    <row r="34" spans="1:17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17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159" customFormat="1" ht="16.5" thickBot="1" x14ac:dyDescent="0.3">
      <c r="A37" s="396"/>
      <c r="B37" s="397"/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17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L39" s="380"/>
      <c r="M39" s="381"/>
      <c r="N39" s="382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381"/>
      <c r="N40" s="382"/>
      <c r="O40" s="412"/>
      <c r="P40" s="413"/>
      <c r="Q40" s="385"/>
    </row>
    <row r="41" spans="1:17" s="159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17" s="159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M42" s="278"/>
      <c r="N42" s="157"/>
      <c r="O42" s="412"/>
      <c r="P42" s="413"/>
      <c r="Q42" s="385"/>
    </row>
    <row r="43" spans="1:17" s="159" customFormat="1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M43" s="278"/>
      <c r="N43" s="157"/>
      <c r="O43" s="383"/>
      <c r="P43" s="384"/>
      <c r="Q43" s="385"/>
    </row>
    <row r="44" spans="1:17" s="159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17" s="159" customFormat="1" ht="16.5" thickBot="1" x14ac:dyDescent="0.3">
      <c r="A45" s="396"/>
      <c r="B45" s="397"/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17" s="159" customFormat="1" x14ac:dyDescent="0.2">
      <c r="A46" s="407"/>
      <c r="B46" s="408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17" s="159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380"/>
      <c r="M47" s="257"/>
      <c r="N47" s="423"/>
      <c r="O47" s="383"/>
      <c r="P47" s="384"/>
      <c r="Q47" s="385"/>
    </row>
    <row r="48" spans="1:17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663"/>
      <c r="M48" s="664"/>
      <c r="N48" s="665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s="159" customFormat="1" ht="13.5" thickTop="1" x14ac:dyDescent="0.2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157"/>
      <c r="M52" s="471"/>
      <c r="N52" s="157"/>
      <c r="O52" s="438"/>
      <c r="P52" s="439"/>
      <c r="Q52" s="385"/>
    </row>
    <row r="53" spans="1:17" s="159" customFormat="1" ht="13.5" thickBot="1" x14ac:dyDescent="0.25">
      <c r="A53" s="355" t="s">
        <v>0</v>
      </c>
      <c r="B53" s="356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357"/>
      <c r="K53" s="525"/>
      <c r="L53" s="393"/>
      <c r="M53" s="357"/>
      <c r="N53" s="395"/>
      <c r="O53" s="438"/>
      <c r="P53" s="439"/>
      <c r="Q53" s="385"/>
    </row>
    <row r="54" spans="1:17" s="159" customFormat="1" ht="16.5" thickBot="1" x14ac:dyDescent="0.3">
      <c r="A54" s="396"/>
      <c r="B54" s="397"/>
      <c r="C54" s="398" t="s">
        <v>19</v>
      </c>
      <c r="D54" s="399" t="s">
        <v>33</v>
      </c>
      <c r="E54" s="400" t="s">
        <v>35</v>
      </c>
      <c r="F54" s="401" t="s">
        <v>30</v>
      </c>
      <c r="G54" s="535" t="s">
        <v>14</v>
      </c>
      <c r="H54" s="400" t="s">
        <v>35</v>
      </c>
      <c r="I54" s="401" t="s">
        <v>30</v>
      </c>
      <c r="J54" s="366" t="s">
        <v>659</v>
      </c>
      <c r="K54" s="536" t="s">
        <v>38</v>
      </c>
      <c r="L54" s="404"/>
      <c r="M54" s="410"/>
      <c r="N54" s="406"/>
      <c r="O54" s="412"/>
      <c r="P54" s="413"/>
      <c r="Q54" s="385"/>
    </row>
    <row r="55" spans="1:17" s="159" customFormat="1" x14ac:dyDescent="0.2">
      <c r="A55" s="407"/>
      <c r="B55" s="408"/>
      <c r="C55" s="373"/>
      <c r="D55" s="374" t="s">
        <v>21</v>
      </c>
      <c r="E55" s="255">
        <v>0</v>
      </c>
      <c r="F55" s="375">
        <f t="shared" ref="F55:F61" si="6">C55*E55</f>
        <v>0</v>
      </c>
      <c r="G55" s="531"/>
      <c r="H55" s="377">
        <v>0</v>
      </c>
      <c r="I55" s="375">
        <f t="shared" ref="I55:I61" si="7">G55*H55</f>
        <v>0</v>
      </c>
      <c r="J55" s="378"/>
      <c r="K55" s="532">
        <f t="shared" ref="K55:K61" si="8">F55+I55+J55</f>
        <v>0</v>
      </c>
      <c r="M55" s="278"/>
      <c r="N55" s="157"/>
      <c r="O55" s="383"/>
      <c r="P55" s="384"/>
      <c r="Q55" s="385"/>
    </row>
    <row r="56" spans="1:17" s="159" customFormat="1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L56" s="380"/>
      <c r="M56" s="257"/>
      <c r="N56" s="382"/>
      <c r="O56" s="383"/>
      <c r="P56" s="384"/>
      <c r="Q56" s="385"/>
    </row>
    <row r="57" spans="1:17" s="159" customFormat="1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L57" s="380"/>
      <c r="M57" s="257"/>
      <c r="N57" s="382"/>
      <c r="O57" s="383"/>
      <c r="P57" s="384"/>
      <c r="Q57" s="385"/>
    </row>
    <row r="58" spans="1:17" s="159" customFormat="1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s="159" customFormat="1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L59" s="663"/>
      <c r="M59" s="257"/>
      <c r="N59" s="665"/>
      <c r="O59" s="383"/>
      <c r="P59" s="384"/>
      <c r="Q59" s="385"/>
    </row>
    <row r="60" spans="1:17" s="159" customFormat="1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L60" s="666"/>
      <c r="M60" s="257"/>
      <c r="N60" s="667"/>
      <c r="O60" s="383"/>
      <c r="P60" s="384"/>
      <c r="Q60" s="385"/>
    </row>
    <row r="61" spans="1:17" s="159" customFormat="1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257"/>
      <c r="N61" s="423"/>
      <c r="O61" s="383"/>
      <c r="P61" s="384"/>
      <c r="Q61" s="385"/>
    </row>
    <row r="62" spans="1:17" s="159" customFormat="1" ht="13.5" thickBot="1" x14ac:dyDescent="0.25">
      <c r="A62" s="389"/>
      <c r="B62" s="5"/>
      <c r="C62" s="390"/>
      <c r="D62" s="374"/>
      <c r="E62" s="255"/>
      <c r="F62" s="375"/>
      <c r="G62" s="531"/>
      <c r="H62" s="377"/>
      <c r="I62" s="375"/>
      <c r="J62" s="378"/>
      <c r="K62" s="537"/>
      <c r="M62" s="278"/>
      <c r="N62" s="157"/>
      <c r="O62" s="383"/>
      <c r="P62" s="384"/>
      <c r="Q62" s="385"/>
    </row>
    <row r="63" spans="1:17" s="159" customFormat="1" ht="13.5" thickTop="1" x14ac:dyDescent="0.2">
      <c r="A63" s="389"/>
      <c r="B63" s="414"/>
      <c r="C63" s="390"/>
      <c r="D63" s="374"/>
      <c r="E63" s="255"/>
      <c r="F63" s="375"/>
      <c r="G63" s="531"/>
      <c r="H63" s="377"/>
      <c r="I63" s="375"/>
      <c r="J63" s="391" t="s">
        <v>30</v>
      </c>
      <c r="K63" s="534">
        <f>SUM(K55:K62)</f>
        <v>0</v>
      </c>
      <c r="M63" s="278"/>
      <c r="N63" s="157"/>
      <c r="O63" s="383"/>
      <c r="P63" s="384"/>
      <c r="Q63" s="385"/>
    </row>
    <row r="64" spans="1:17" s="159" customFormat="1" ht="13.5" thickBot="1" x14ac:dyDescent="0.25">
      <c r="A64" s="355" t="s">
        <v>0</v>
      </c>
      <c r="B64" s="356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357"/>
      <c r="K64" s="525"/>
      <c r="L64" s="393"/>
      <c r="M64" s="357"/>
      <c r="N64" s="440"/>
      <c r="O64" s="383"/>
      <c r="P64" s="384"/>
      <c r="Q64" s="385"/>
    </row>
    <row r="65" spans="1:17" s="159" customFormat="1" ht="16.5" thickBot="1" x14ac:dyDescent="0.3">
      <c r="A65" s="396"/>
      <c r="B65" s="397"/>
      <c r="C65" s="398" t="s">
        <v>19</v>
      </c>
      <c r="D65" s="399" t="s">
        <v>33</v>
      </c>
      <c r="E65" s="400" t="s">
        <v>35</v>
      </c>
      <c r="F65" s="401" t="s">
        <v>30</v>
      </c>
      <c r="G65" s="535" t="s">
        <v>14</v>
      </c>
      <c r="H65" s="400" t="s">
        <v>35</v>
      </c>
      <c r="I65" s="401" t="s">
        <v>30</v>
      </c>
      <c r="J65" s="366" t="s">
        <v>659</v>
      </c>
      <c r="K65" s="536" t="s">
        <v>38</v>
      </c>
      <c r="L65" s="404"/>
      <c r="M65" s="410"/>
      <c r="N65" s="411"/>
      <c r="O65" s="383"/>
      <c r="P65" s="384"/>
      <c r="Q65" s="385"/>
    </row>
    <row r="66" spans="1:17" s="159" customFormat="1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s="159" customFormat="1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s="159" customFormat="1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L68" s="380"/>
      <c r="M68" s="381"/>
      <c r="N68" s="382"/>
      <c r="O68" s="383"/>
      <c r="P68" s="384"/>
      <c r="Q68" s="385"/>
    </row>
    <row r="69" spans="1:17" s="159" customFormat="1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M69" s="278"/>
      <c r="N69" s="157"/>
      <c r="O69" s="383"/>
      <c r="P69" s="384"/>
      <c r="Q69" s="385"/>
    </row>
    <row r="70" spans="1:17" s="159" customFormat="1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M70" s="278"/>
      <c r="N70" s="157"/>
      <c r="O70" s="383"/>
      <c r="P70" s="384"/>
      <c r="Q70" s="385"/>
    </row>
    <row r="71" spans="1:17" s="159" customFormat="1" ht="13.5" thickBot="1" x14ac:dyDescent="0.25">
      <c r="A71" s="389"/>
      <c r="B71" s="5"/>
      <c r="C71" s="390"/>
      <c r="D71" s="374"/>
      <c r="E71" s="255"/>
      <c r="F71" s="375"/>
      <c r="G71" s="531"/>
      <c r="H71" s="377"/>
      <c r="I71" s="375"/>
      <c r="J71" s="378"/>
      <c r="K71" s="537"/>
      <c r="M71" s="278"/>
      <c r="N71" s="157"/>
      <c r="O71" s="383"/>
      <c r="P71" s="384"/>
      <c r="Q71" s="385"/>
    </row>
    <row r="72" spans="1:17" s="159" customFormat="1" ht="13.5" thickTop="1" x14ac:dyDescent="0.2">
      <c r="A72" s="389"/>
      <c r="B72" s="414"/>
      <c r="C72" s="390"/>
      <c r="D72" s="374"/>
      <c r="E72" s="255"/>
      <c r="F72" s="375"/>
      <c r="G72" s="531"/>
      <c r="H72" s="377"/>
      <c r="I72" s="375"/>
      <c r="J72" s="391" t="s">
        <v>30</v>
      </c>
      <c r="K72" s="534">
        <f>SUM(K66:K71)</f>
        <v>0</v>
      </c>
      <c r="M72" s="278"/>
      <c r="N72" s="157"/>
      <c r="O72" s="383"/>
      <c r="P72" s="384"/>
      <c r="Q72" s="385"/>
    </row>
    <row r="73" spans="1:17" s="159" customFormat="1" ht="13.5" thickBot="1" x14ac:dyDescent="0.25">
      <c r="A73" s="355" t="s">
        <v>0</v>
      </c>
      <c r="B73" s="356" t="s">
        <v>1</v>
      </c>
      <c r="C73" s="948" t="s">
        <v>656</v>
      </c>
      <c r="D73" s="948"/>
      <c r="E73" s="948"/>
      <c r="F73" s="948"/>
      <c r="G73" s="948" t="s">
        <v>34</v>
      </c>
      <c r="H73" s="948"/>
      <c r="I73" s="948"/>
      <c r="J73" s="357"/>
      <c r="K73" s="525"/>
      <c r="L73" s="393"/>
      <c r="M73" s="394"/>
      <c r="N73" s="395"/>
      <c r="O73" s="383"/>
      <c r="P73" s="384"/>
      <c r="Q73" s="385"/>
    </row>
    <row r="74" spans="1:17" s="159" customFormat="1" ht="16.5" thickBot="1" x14ac:dyDescent="0.3">
      <c r="A74" s="396"/>
      <c r="B74" s="397"/>
      <c r="C74" s="398" t="s">
        <v>19</v>
      </c>
      <c r="D74" s="399" t="s">
        <v>33</v>
      </c>
      <c r="E74" s="400" t="s">
        <v>35</v>
      </c>
      <c r="F74" s="401" t="s">
        <v>30</v>
      </c>
      <c r="G74" s="535" t="s">
        <v>14</v>
      </c>
      <c r="H74" s="400" t="s">
        <v>35</v>
      </c>
      <c r="I74" s="401" t="s">
        <v>30</v>
      </c>
      <c r="J74" s="366" t="s">
        <v>659</v>
      </c>
      <c r="K74" s="536" t="s">
        <v>38</v>
      </c>
      <c r="L74" s="404"/>
      <c r="M74" s="405"/>
      <c r="N74" s="406"/>
      <c r="O74" s="383"/>
      <c r="P74" s="384"/>
      <c r="Q74" s="385"/>
    </row>
    <row r="75" spans="1:17" s="159" customFormat="1" x14ac:dyDescent="0.2">
      <c r="A75" s="407"/>
      <c r="B75" s="408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L75" s="380"/>
      <c r="M75" s="381"/>
      <c r="N75" s="382"/>
      <c r="O75" s="383"/>
      <c r="P75" s="384"/>
      <c r="Q75" s="385"/>
    </row>
    <row r="76" spans="1:17" s="159" customFormat="1" x14ac:dyDescent="0.2">
      <c r="A76" s="372"/>
      <c r="B76" s="5"/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L76" s="663"/>
      <c r="M76" s="664"/>
      <c r="N76" s="665"/>
      <c r="O76" s="383"/>
      <c r="P76" s="384"/>
      <c r="Q76" s="385"/>
    </row>
    <row r="77" spans="1:17" s="159" customFormat="1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s="159" customFormat="1" ht="13.5" thickTop="1" x14ac:dyDescent="0.2">
      <c r="A79" s="389"/>
      <c r="B79" s="157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SUM(K75:K78)</f>
        <v>0</v>
      </c>
      <c r="L79" s="380"/>
      <c r="M79" s="381"/>
      <c r="N79" s="382"/>
      <c r="O79" s="383"/>
      <c r="P79" s="384"/>
      <c r="Q79" s="385"/>
    </row>
    <row r="80" spans="1:17" s="159" customFormat="1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s="159" customFormat="1" ht="16.5" thickBot="1" x14ac:dyDescent="0.3">
      <c r="A81" s="396"/>
      <c r="B81" s="397"/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s="159" customFormat="1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x14ac:dyDescent="0.2">
      <c r="A84" s="372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M84" s="278"/>
      <c r="N84" s="157"/>
      <c r="O84" s="383"/>
      <c r="P84" s="384"/>
      <c r="Q84" s="385"/>
    </row>
    <row r="85" spans="1:17" s="159" customFormat="1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L85" s="380"/>
      <c r="M85" s="381"/>
      <c r="N85" s="382"/>
      <c r="O85" s="383"/>
      <c r="P85" s="384"/>
      <c r="Q85" s="385"/>
    </row>
    <row r="86" spans="1:17" s="159" customFormat="1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L86" s="380"/>
      <c r="M86" s="381"/>
      <c r="N86" s="382"/>
      <c r="O86" s="383"/>
      <c r="P86" s="384"/>
      <c r="Q86" s="385"/>
    </row>
    <row r="87" spans="1:17" s="159" customFormat="1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L87" s="380"/>
      <c r="M87" s="381"/>
      <c r="N87" s="382"/>
      <c r="O87" s="383"/>
      <c r="P87" s="384"/>
      <c r="Q87" s="385"/>
    </row>
    <row r="88" spans="1:17" s="159" customFormat="1" ht="13.5" thickTop="1" x14ac:dyDescent="0.2">
      <c r="A88" s="389"/>
      <c r="B88" s="414"/>
      <c r="C88" s="390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M88" s="278"/>
      <c r="N88" s="157"/>
      <c r="O88" s="383"/>
      <c r="P88" s="384"/>
      <c r="Q88" s="385"/>
    </row>
    <row r="89" spans="1:17" s="159" customFormat="1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s="159" customFormat="1" ht="16.5" thickBot="1" x14ac:dyDescent="0.3">
      <c r="A90" s="396"/>
      <c r="B90" s="397"/>
      <c r="C90" s="398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s="159" customFormat="1" x14ac:dyDescent="0.2">
      <c r="A91" s="407"/>
      <c r="B91" s="408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380"/>
      <c r="M91" s="381"/>
      <c r="N91" s="382"/>
      <c r="O91" s="383"/>
      <c r="P91" s="384"/>
      <c r="Q91" s="385"/>
    </row>
    <row r="92" spans="1:17" s="159" customFormat="1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669"/>
      <c r="M92" s="670"/>
      <c r="N92" s="671"/>
      <c r="O92" s="383"/>
      <c r="P92" s="384"/>
      <c r="Q92" s="385"/>
    </row>
    <row r="93" spans="1:17" s="159" customFormat="1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669"/>
      <c r="M93" s="670"/>
      <c r="N93" s="672"/>
      <c r="O93" s="383"/>
      <c r="P93" s="384"/>
      <c r="Q93" s="385"/>
    </row>
    <row r="94" spans="1:17" s="159" customFormat="1" x14ac:dyDescent="0.2">
      <c r="A94" s="372"/>
      <c r="B94" s="5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s="159" customFormat="1" ht="13.5" thickBot="1" x14ac:dyDescent="0.25">
      <c r="A95" s="389"/>
      <c r="B95" s="414"/>
      <c r="C95" s="373"/>
      <c r="D95" s="374"/>
      <c r="E95" s="255"/>
      <c r="F95" s="375"/>
      <c r="G95" s="531"/>
      <c r="H95" s="377"/>
      <c r="I95" s="375"/>
      <c r="J95" s="378"/>
      <c r="K95" s="532"/>
      <c r="L95" s="669"/>
      <c r="M95" s="670"/>
      <c r="N95" s="672"/>
      <c r="O95" s="383"/>
      <c r="P95" s="384"/>
      <c r="Q95" s="385"/>
    </row>
    <row r="96" spans="1:17" s="159" customFormat="1" ht="14.25" thickTop="1" thickBot="1" x14ac:dyDescent="0.25">
      <c r="A96" s="472"/>
      <c r="B96" s="156"/>
      <c r="C96" s="473"/>
      <c r="D96" s="474"/>
      <c r="E96" s="475"/>
      <c r="F96" s="476"/>
      <c r="G96" s="636"/>
      <c r="H96" s="475"/>
      <c r="I96" s="476"/>
      <c r="J96" s="478" t="s">
        <v>30</v>
      </c>
      <c r="K96" s="637">
        <f>SUM(K91:K95)</f>
        <v>0</v>
      </c>
      <c r="L96" s="669"/>
      <c r="M96" s="670"/>
      <c r="N96" s="672"/>
      <c r="O96" s="383"/>
      <c r="P96" s="384"/>
      <c r="Q96" s="385"/>
    </row>
    <row r="97" spans="1:17" s="159" customFormat="1" ht="14.1" customHeight="1" thickBot="1" x14ac:dyDescent="0.3">
      <c r="A97" s="480"/>
      <c r="B97" s="481"/>
      <c r="C97" s="482"/>
      <c r="D97" s="482"/>
      <c r="E97" s="483"/>
      <c r="F97" s="978" t="s">
        <v>658</v>
      </c>
      <c r="G97" s="1001" t="s">
        <v>682</v>
      </c>
      <c r="H97" s="483"/>
      <c r="I97" s="971" t="s">
        <v>657</v>
      </c>
      <c r="J97" s="967" t="s">
        <v>683</v>
      </c>
      <c r="K97" s="965" t="s">
        <v>31</v>
      </c>
      <c r="L97" s="673"/>
      <c r="M97" s="674"/>
      <c r="N97" s="675"/>
      <c r="O97" s="462"/>
      <c r="P97" s="463"/>
      <c r="Q97" s="464"/>
    </row>
    <row r="98" spans="1:17" s="159" customFormat="1" ht="15.75" thickTop="1" x14ac:dyDescent="0.2">
      <c r="A98" s="484" t="s">
        <v>32</v>
      </c>
      <c r="B98" s="973" t="s">
        <v>668</v>
      </c>
      <c r="C98" s="485"/>
      <c r="D98" s="486"/>
      <c r="E98" s="486"/>
      <c r="F98" s="979"/>
      <c r="G98" s="1002"/>
      <c r="H98" s="487"/>
      <c r="I98" s="972"/>
      <c r="J98" s="968"/>
      <c r="K98" s="966"/>
      <c r="M98" s="278"/>
      <c r="N98" s="157"/>
      <c r="O98" s="304"/>
      <c r="P98" s="304"/>
    </row>
    <row r="99" spans="1:17" s="159" customFormat="1" ht="15" x14ac:dyDescent="0.25">
      <c r="A99" s="828">
        <f>K99/E6</f>
        <v>3.9713795077275331</v>
      </c>
      <c r="B99" s="973"/>
      <c r="C99" s="486"/>
      <c r="D99" s="486"/>
      <c r="E99" s="486"/>
      <c r="F99" s="961">
        <f>SUM(F91:F95,F82:F87,F75:F78,F66:F71,F55:F61,F46:F51,F38:F42,F27:F34,F11:F23)</f>
        <v>0</v>
      </c>
      <c r="G99" s="1006">
        <f>SUM(G91:G95,G82:G87,G75:G78,G66:G71,G55:G61,G46:G51,G38:G42,G27:G34,G11:G23)</f>
        <v>0</v>
      </c>
      <c r="H99" s="487"/>
      <c r="I99" s="961">
        <f>SUM(I91:I95,I82:I87,I75:I78,I66:I71,I55:I61,I46:I51,I38:I42,I27:I34,I11:I23)</f>
        <v>0</v>
      </c>
      <c r="J99" s="961">
        <f>SUM(J91:J95,J82:J87,J75:J78,J66:J71,J55:J61,J46:J51,J38:J42,J27:J34,J11:J23)</f>
        <v>6938</v>
      </c>
      <c r="K99" s="963">
        <f>SUM(K96,K88,K79,K72,K63,K52,K43,K35,K24)</f>
        <v>6938</v>
      </c>
      <c r="M99" s="278"/>
      <c r="N99" s="157"/>
      <c r="O99" s="304"/>
      <c r="P99" s="304"/>
    </row>
    <row r="100" spans="1:17" s="159" customFormat="1" ht="15" thickBot="1" x14ac:dyDescent="0.25">
      <c r="A100" s="484"/>
      <c r="B100" s="552"/>
      <c r="C100" s="490"/>
      <c r="D100" s="490"/>
      <c r="E100" s="490"/>
      <c r="F100" s="962"/>
      <c r="G100" s="1007"/>
      <c r="H100" s="490"/>
      <c r="I100" s="962"/>
      <c r="J100" s="962"/>
      <c r="K100" s="964"/>
      <c r="M100" s="278"/>
      <c r="N100" s="157"/>
      <c r="O100" s="304"/>
      <c r="P100" s="304"/>
    </row>
    <row r="101" spans="1:17" s="159" customFormat="1" ht="13.5" thickBot="1" x14ac:dyDescent="0.25">
      <c r="A101" s="491"/>
      <c r="B101" s="492"/>
      <c r="C101" s="492"/>
      <c r="D101" s="492"/>
      <c r="E101" s="492"/>
      <c r="F101" s="492"/>
      <c r="G101" s="492"/>
      <c r="H101" s="492"/>
      <c r="I101" s="492"/>
      <c r="J101" s="492"/>
      <c r="K101" s="493"/>
      <c r="M101" s="278"/>
      <c r="N101" s="157"/>
      <c r="O101" s="304"/>
      <c r="P101" s="304"/>
    </row>
    <row r="102" spans="1:17" s="159" customFormat="1" x14ac:dyDescent="0.2">
      <c r="C102" s="657"/>
      <c r="D102" s="657"/>
      <c r="M102" s="278"/>
      <c r="N102" s="157"/>
      <c r="O102" s="304"/>
      <c r="P102" s="304"/>
    </row>
    <row r="103" spans="1:17" s="159" customFormat="1" x14ac:dyDescent="0.2">
      <c r="C103" s="657"/>
      <c r="D103" s="657"/>
      <c r="M103" s="278"/>
      <c r="N103" s="157"/>
      <c r="O103" s="304"/>
      <c r="P103" s="304"/>
    </row>
    <row r="104" spans="1:17" s="159" customFormat="1" x14ac:dyDescent="0.2">
      <c r="C104" s="657"/>
      <c r="D104" s="657"/>
      <c r="M104" s="278"/>
      <c r="N104" s="157"/>
      <c r="O104" s="304"/>
      <c r="P104" s="304"/>
    </row>
    <row r="105" spans="1:17" s="159" customFormat="1" x14ac:dyDescent="0.2">
      <c r="C105" s="657"/>
      <c r="D105" s="657"/>
      <c r="M105" s="278"/>
      <c r="N105" s="157"/>
      <c r="O105" s="304"/>
      <c r="P105" s="304"/>
    </row>
    <row r="106" spans="1:17" s="159" customFormat="1" x14ac:dyDescent="0.2">
      <c r="C106" s="657"/>
      <c r="D106" s="657"/>
      <c r="M106" s="278"/>
      <c r="N106" s="157"/>
      <c r="O106" s="304"/>
      <c r="P106" s="304"/>
    </row>
    <row r="107" spans="1:17" s="159" customFormat="1" x14ac:dyDescent="0.2">
      <c r="C107" s="657"/>
      <c r="D107" s="657"/>
      <c r="M107" s="278"/>
      <c r="N107" s="157"/>
      <c r="O107" s="304"/>
      <c r="P107" s="304"/>
    </row>
    <row r="108" spans="1:17" s="159" customFormat="1" x14ac:dyDescent="0.2">
      <c r="C108" s="657"/>
      <c r="D108" s="657"/>
      <c r="M108" s="278"/>
      <c r="N108" s="157"/>
      <c r="O108" s="304"/>
      <c r="P108" s="304"/>
    </row>
    <row r="109" spans="1:17" s="159" customFormat="1" x14ac:dyDescent="0.2">
      <c r="C109" s="657"/>
      <c r="D109" s="657"/>
      <c r="M109" s="278"/>
      <c r="N109" s="157"/>
      <c r="O109" s="304"/>
      <c r="P109" s="304"/>
    </row>
    <row r="110" spans="1:17" s="159" customFormat="1" x14ac:dyDescent="0.2">
      <c r="C110" s="657"/>
      <c r="D110" s="657"/>
      <c r="M110" s="278"/>
      <c r="N110" s="157"/>
      <c r="O110" s="304"/>
      <c r="P110" s="304"/>
    </row>
    <row r="111" spans="1:17" s="159" customFormat="1" x14ac:dyDescent="0.2">
      <c r="C111" s="657"/>
      <c r="D111" s="657"/>
      <c r="M111" s="278"/>
      <c r="N111" s="157"/>
      <c r="O111" s="304"/>
      <c r="P111" s="304"/>
    </row>
    <row r="112" spans="1:17" s="159" customFormat="1" x14ac:dyDescent="0.2">
      <c r="C112" s="657"/>
      <c r="D112" s="657"/>
      <c r="M112" s="278"/>
      <c r="N112" s="157"/>
      <c r="O112" s="304"/>
      <c r="P112" s="304"/>
    </row>
    <row r="113" spans="3:16" s="159" customFormat="1" x14ac:dyDescent="0.2">
      <c r="C113" s="657"/>
      <c r="D113" s="657"/>
      <c r="M113" s="278"/>
      <c r="N113" s="157"/>
      <c r="O113" s="304"/>
      <c r="P113" s="304"/>
    </row>
    <row r="114" spans="3:16" s="159" customFormat="1" x14ac:dyDescent="0.2">
      <c r="C114" s="657"/>
      <c r="D114" s="657"/>
      <c r="M114" s="278"/>
      <c r="N114" s="157"/>
      <c r="O114" s="304"/>
      <c r="P114" s="304"/>
    </row>
    <row r="115" spans="3:16" s="159" customFormat="1" x14ac:dyDescent="0.2">
      <c r="C115" s="657"/>
      <c r="D115" s="657"/>
      <c r="M115" s="278"/>
      <c r="N115" s="157"/>
      <c r="O115" s="304"/>
      <c r="P115" s="304"/>
    </row>
    <row r="116" spans="3:16" s="159" customFormat="1" x14ac:dyDescent="0.2">
      <c r="C116" s="657"/>
      <c r="D116" s="657"/>
      <c r="M116" s="278"/>
      <c r="N116" s="157"/>
      <c r="O116" s="304"/>
      <c r="P116" s="304"/>
    </row>
    <row r="117" spans="3:16" s="159" customFormat="1" x14ac:dyDescent="0.2">
      <c r="C117" s="657"/>
      <c r="D117" s="657"/>
      <c r="M117" s="278"/>
      <c r="N117" s="157"/>
      <c r="O117" s="304"/>
      <c r="P117" s="304"/>
    </row>
    <row r="118" spans="3:16" s="159" customFormat="1" x14ac:dyDescent="0.2">
      <c r="C118" s="657"/>
      <c r="D118" s="657"/>
      <c r="M118" s="278"/>
      <c r="N118" s="157"/>
      <c r="O118" s="304"/>
      <c r="P118" s="304"/>
    </row>
    <row r="119" spans="3:16" s="159" customFormat="1" x14ac:dyDescent="0.2">
      <c r="C119" s="657"/>
      <c r="D119" s="657"/>
      <c r="M119" s="278"/>
      <c r="N119" s="157"/>
      <c r="O119" s="304"/>
      <c r="P119" s="304"/>
    </row>
    <row r="120" spans="3:16" s="159" customFormat="1" x14ac:dyDescent="0.2">
      <c r="C120" s="657"/>
      <c r="D120" s="657"/>
      <c r="M120" s="278"/>
      <c r="N120" s="157"/>
      <c r="O120" s="304"/>
      <c r="P120" s="304"/>
    </row>
    <row r="121" spans="3:16" s="159" customFormat="1" x14ac:dyDescent="0.2">
      <c r="C121" s="657"/>
      <c r="D121" s="657"/>
      <c r="M121" s="278"/>
      <c r="N121" s="157"/>
      <c r="O121" s="304"/>
      <c r="P121" s="304"/>
    </row>
    <row r="122" spans="3:16" s="159" customFormat="1" x14ac:dyDescent="0.2">
      <c r="C122" s="657"/>
      <c r="D122" s="657"/>
      <c r="M122" s="278"/>
      <c r="N122" s="157"/>
      <c r="O122" s="304"/>
      <c r="P122" s="304"/>
    </row>
    <row r="123" spans="3:16" s="159" customFormat="1" x14ac:dyDescent="0.2">
      <c r="C123" s="657"/>
      <c r="D123" s="657"/>
      <c r="M123" s="278"/>
      <c r="N123" s="157"/>
      <c r="O123" s="304"/>
      <c r="P123" s="304"/>
    </row>
    <row r="124" spans="3:16" s="159" customFormat="1" x14ac:dyDescent="0.2">
      <c r="C124" s="657"/>
      <c r="D124" s="657"/>
      <c r="M124" s="278"/>
      <c r="N124" s="157"/>
      <c r="O124" s="304"/>
      <c r="P124" s="304"/>
    </row>
    <row r="125" spans="3:16" s="159" customFormat="1" x14ac:dyDescent="0.2">
      <c r="C125" s="657"/>
      <c r="D125" s="657"/>
      <c r="M125" s="278"/>
      <c r="N125" s="157"/>
      <c r="O125" s="304"/>
      <c r="P125" s="304"/>
    </row>
    <row r="126" spans="3:16" s="159" customFormat="1" x14ac:dyDescent="0.2">
      <c r="C126" s="657"/>
      <c r="D126" s="657"/>
      <c r="M126" s="278"/>
      <c r="N126" s="157"/>
      <c r="O126" s="304"/>
      <c r="P126" s="304"/>
    </row>
    <row r="127" spans="3:16" s="159" customFormat="1" x14ac:dyDescent="0.2">
      <c r="C127" s="657"/>
      <c r="D127" s="657"/>
      <c r="M127" s="278"/>
      <c r="N127" s="157"/>
      <c r="O127" s="304"/>
      <c r="P127" s="304"/>
    </row>
    <row r="128" spans="3:16" s="159" customFormat="1" x14ac:dyDescent="0.2">
      <c r="C128" s="657"/>
      <c r="D128" s="657"/>
      <c r="M128" s="278"/>
      <c r="N128" s="157"/>
      <c r="O128" s="304"/>
      <c r="P128" s="304"/>
    </row>
    <row r="129" spans="3:16" s="159" customFormat="1" x14ac:dyDescent="0.2">
      <c r="C129" s="657"/>
      <c r="D129" s="657"/>
      <c r="M129" s="278"/>
      <c r="N129" s="157"/>
      <c r="O129" s="304"/>
      <c r="P129" s="304"/>
    </row>
    <row r="130" spans="3:16" s="159" customFormat="1" x14ac:dyDescent="0.2">
      <c r="C130" s="657"/>
      <c r="D130" s="657"/>
      <c r="M130" s="278"/>
      <c r="N130" s="157"/>
      <c r="O130" s="304"/>
      <c r="P130" s="304"/>
    </row>
    <row r="131" spans="3:16" s="159" customFormat="1" x14ac:dyDescent="0.2">
      <c r="C131" s="657"/>
      <c r="D131" s="657"/>
      <c r="M131" s="278"/>
      <c r="N131" s="157"/>
      <c r="O131" s="304"/>
      <c r="P131" s="304"/>
    </row>
    <row r="132" spans="3:16" s="159" customFormat="1" x14ac:dyDescent="0.2">
      <c r="C132" s="657"/>
      <c r="D132" s="657"/>
      <c r="M132" s="278"/>
      <c r="N132" s="157"/>
      <c r="O132" s="304"/>
      <c r="P132" s="304"/>
    </row>
    <row r="133" spans="3:16" s="159" customFormat="1" x14ac:dyDescent="0.2">
      <c r="C133" s="657"/>
      <c r="D133" s="657"/>
      <c r="M133" s="278"/>
      <c r="N133" s="157"/>
      <c r="O133" s="304"/>
      <c r="P133" s="304"/>
    </row>
    <row r="134" spans="3:16" s="159" customFormat="1" x14ac:dyDescent="0.2">
      <c r="C134" s="657"/>
      <c r="D134" s="657"/>
      <c r="M134" s="278"/>
      <c r="N134" s="157"/>
      <c r="O134" s="304"/>
      <c r="P134" s="304"/>
    </row>
    <row r="135" spans="3:16" s="159" customFormat="1" x14ac:dyDescent="0.2">
      <c r="C135" s="657"/>
      <c r="D135" s="657"/>
      <c r="M135" s="278"/>
      <c r="N135" s="157"/>
      <c r="O135" s="304"/>
      <c r="P135" s="304"/>
    </row>
    <row r="136" spans="3:16" s="159" customFormat="1" x14ac:dyDescent="0.2">
      <c r="C136" s="657"/>
      <c r="D136" s="657"/>
      <c r="M136" s="278"/>
      <c r="N136" s="157"/>
      <c r="O136" s="304"/>
      <c r="P136" s="304"/>
    </row>
    <row r="137" spans="3:16" s="159" customFormat="1" x14ac:dyDescent="0.2">
      <c r="C137" s="657"/>
      <c r="D137" s="657"/>
      <c r="M137" s="278"/>
      <c r="N137" s="157"/>
      <c r="O137" s="304"/>
      <c r="P137" s="304"/>
    </row>
    <row r="138" spans="3:16" s="159" customFormat="1" x14ac:dyDescent="0.2">
      <c r="C138" s="657"/>
      <c r="D138" s="657"/>
      <c r="M138" s="278"/>
      <c r="N138" s="157"/>
      <c r="O138" s="304"/>
      <c r="P138" s="304"/>
    </row>
    <row r="139" spans="3:16" s="159" customFormat="1" x14ac:dyDescent="0.2">
      <c r="C139" s="657"/>
      <c r="D139" s="657"/>
      <c r="M139" s="278"/>
      <c r="N139" s="157"/>
      <c r="O139" s="304"/>
      <c r="P139" s="304"/>
    </row>
    <row r="140" spans="3:16" s="159" customFormat="1" x14ac:dyDescent="0.2">
      <c r="C140" s="657"/>
      <c r="D140" s="657"/>
      <c r="M140" s="278"/>
      <c r="N140" s="157"/>
      <c r="O140" s="304"/>
      <c r="P140" s="304"/>
    </row>
    <row r="141" spans="3:16" s="159" customFormat="1" x14ac:dyDescent="0.2">
      <c r="C141" s="657"/>
      <c r="D141" s="657"/>
      <c r="M141" s="278"/>
      <c r="N141" s="157"/>
      <c r="O141" s="304"/>
      <c r="P141" s="304"/>
    </row>
    <row r="142" spans="3:16" s="159" customFormat="1" x14ac:dyDescent="0.2">
      <c r="C142" s="657"/>
      <c r="D142" s="657"/>
      <c r="M142" s="278"/>
      <c r="N142" s="157"/>
      <c r="O142" s="304"/>
      <c r="P142" s="304"/>
    </row>
    <row r="143" spans="3:16" s="159" customFormat="1" x14ac:dyDescent="0.2">
      <c r="C143" s="657"/>
      <c r="D143" s="657"/>
      <c r="M143" s="278"/>
      <c r="N143" s="157"/>
      <c r="O143" s="304"/>
      <c r="P143" s="304"/>
    </row>
    <row r="144" spans="3:16" s="159" customFormat="1" x14ac:dyDescent="0.2">
      <c r="C144" s="657"/>
      <c r="D144" s="657"/>
      <c r="M144" s="278"/>
      <c r="N144" s="157"/>
      <c r="O144" s="304"/>
      <c r="P144" s="304"/>
    </row>
    <row r="145" spans="3:16" s="159" customFormat="1" x14ac:dyDescent="0.2">
      <c r="C145" s="657"/>
      <c r="D145" s="657"/>
      <c r="M145" s="278"/>
      <c r="N145" s="157"/>
      <c r="O145" s="304"/>
      <c r="P145" s="304"/>
    </row>
    <row r="146" spans="3:16" s="159" customFormat="1" x14ac:dyDescent="0.2">
      <c r="C146" s="657"/>
      <c r="D146" s="657"/>
      <c r="M146" s="278"/>
      <c r="N146" s="157"/>
      <c r="O146" s="304"/>
      <c r="P146" s="304"/>
    </row>
    <row r="147" spans="3:16" s="159" customFormat="1" x14ac:dyDescent="0.2">
      <c r="C147" s="657"/>
      <c r="D147" s="657"/>
      <c r="M147" s="278"/>
      <c r="N147" s="157"/>
      <c r="O147" s="304"/>
      <c r="P147" s="304"/>
    </row>
    <row r="148" spans="3:16" s="159" customFormat="1" x14ac:dyDescent="0.2">
      <c r="C148" s="657"/>
      <c r="D148" s="657"/>
      <c r="M148" s="278"/>
      <c r="N148" s="157"/>
      <c r="O148" s="304"/>
      <c r="P148" s="304"/>
    </row>
    <row r="149" spans="3:16" s="159" customFormat="1" x14ac:dyDescent="0.2">
      <c r="C149" s="657"/>
      <c r="D149" s="657"/>
      <c r="M149" s="278"/>
      <c r="N149" s="157"/>
      <c r="O149" s="304"/>
      <c r="P149" s="304"/>
    </row>
    <row r="150" spans="3:16" s="159" customFormat="1" x14ac:dyDescent="0.2">
      <c r="C150" s="657"/>
      <c r="D150" s="657"/>
      <c r="M150" s="278"/>
      <c r="N150" s="157"/>
      <c r="O150" s="304"/>
      <c r="P150" s="304"/>
    </row>
    <row r="151" spans="3:16" s="159" customFormat="1" x14ac:dyDescent="0.2">
      <c r="C151" s="657"/>
      <c r="D151" s="657"/>
      <c r="M151" s="278"/>
      <c r="N151" s="157"/>
      <c r="O151" s="304"/>
      <c r="P151" s="304"/>
    </row>
    <row r="152" spans="3:16" s="159" customFormat="1" x14ac:dyDescent="0.2">
      <c r="C152" s="657"/>
      <c r="D152" s="657"/>
      <c r="M152" s="278"/>
      <c r="N152" s="157"/>
      <c r="O152" s="304"/>
      <c r="P152" s="304"/>
    </row>
    <row r="153" spans="3:16" s="159" customFormat="1" x14ac:dyDescent="0.2">
      <c r="C153" s="657"/>
      <c r="D153" s="657"/>
      <c r="M153" s="278"/>
      <c r="N153" s="157"/>
      <c r="O153" s="304"/>
      <c r="P153" s="304"/>
    </row>
    <row r="154" spans="3:16" s="159" customFormat="1" x14ac:dyDescent="0.2">
      <c r="C154" s="657"/>
      <c r="D154" s="657"/>
      <c r="M154" s="278"/>
      <c r="N154" s="157"/>
      <c r="O154" s="304"/>
      <c r="P154" s="304"/>
    </row>
    <row r="155" spans="3:16" s="159" customFormat="1" x14ac:dyDescent="0.2">
      <c r="C155" s="657"/>
      <c r="D155" s="657"/>
      <c r="M155" s="278"/>
      <c r="N155" s="157"/>
      <c r="O155" s="304"/>
      <c r="P155" s="304"/>
    </row>
    <row r="156" spans="3:16" s="159" customFormat="1" x14ac:dyDescent="0.2">
      <c r="C156" s="657"/>
      <c r="D156" s="657"/>
      <c r="M156" s="278"/>
      <c r="N156" s="157"/>
      <c r="O156" s="304"/>
      <c r="P156" s="304"/>
    </row>
    <row r="157" spans="3:16" s="159" customFormat="1" x14ac:dyDescent="0.2">
      <c r="C157" s="657"/>
      <c r="D157" s="657"/>
      <c r="M157" s="278"/>
      <c r="N157" s="157"/>
      <c r="O157" s="304"/>
      <c r="P157" s="304"/>
    </row>
    <row r="158" spans="3:16" s="159" customFormat="1" x14ac:dyDescent="0.2">
      <c r="C158" s="657"/>
      <c r="D158" s="657"/>
      <c r="M158" s="278"/>
      <c r="N158" s="157"/>
      <c r="O158" s="304"/>
      <c r="P158" s="304"/>
    </row>
    <row r="159" spans="3:16" s="159" customFormat="1" x14ac:dyDescent="0.2">
      <c r="C159" s="657"/>
      <c r="D159" s="657"/>
      <c r="M159" s="278"/>
      <c r="N159" s="157"/>
      <c r="O159" s="304"/>
      <c r="P159" s="304"/>
    </row>
    <row r="160" spans="3:16" s="159" customFormat="1" x14ac:dyDescent="0.2">
      <c r="C160" s="657"/>
      <c r="D160" s="657"/>
      <c r="M160" s="278"/>
      <c r="N160" s="157"/>
      <c r="O160" s="304"/>
      <c r="P160" s="304"/>
    </row>
    <row r="161" spans="3:16" s="159" customFormat="1" x14ac:dyDescent="0.2">
      <c r="C161" s="657"/>
      <c r="D161" s="657"/>
      <c r="M161" s="278"/>
      <c r="N161" s="157"/>
      <c r="O161" s="304"/>
      <c r="P161" s="304"/>
    </row>
    <row r="162" spans="3:16" s="159" customFormat="1" x14ac:dyDescent="0.2">
      <c r="C162" s="657"/>
      <c r="D162" s="657"/>
      <c r="M162" s="278"/>
      <c r="N162" s="157"/>
      <c r="O162" s="304"/>
      <c r="P162" s="304"/>
    </row>
    <row r="163" spans="3:16" s="159" customFormat="1" x14ac:dyDescent="0.2">
      <c r="C163" s="657"/>
      <c r="D163" s="657"/>
      <c r="M163" s="278"/>
      <c r="N163" s="157"/>
      <c r="O163" s="304"/>
      <c r="P163" s="304"/>
    </row>
    <row r="164" spans="3:16" s="159" customFormat="1" x14ac:dyDescent="0.2">
      <c r="C164" s="657"/>
      <c r="D164" s="657"/>
      <c r="M164" s="278"/>
      <c r="N164" s="157"/>
      <c r="O164" s="304"/>
      <c r="P164" s="304"/>
    </row>
    <row r="165" spans="3:16" s="159" customFormat="1" x14ac:dyDescent="0.2">
      <c r="C165" s="657"/>
      <c r="D165" s="657"/>
      <c r="M165" s="278"/>
      <c r="N165" s="157"/>
      <c r="O165" s="304"/>
      <c r="P165" s="304"/>
    </row>
    <row r="166" spans="3:16" s="159" customFormat="1" x14ac:dyDescent="0.2">
      <c r="C166" s="657"/>
      <c r="D166" s="657"/>
      <c r="M166" s="278"/>
      <c r="N166" s="157"/>
      <c r="O166" s="304"/>
      <c r="P166" s="304"/>
    </row>
    <row r="167" spans="3:16" s="159" customFormat="1" x14ac:dyDescent="0.2">
      <c r="C167" s="657"/>
      <c r="D167" s="657"/>
      <c r="M167" s="278"/>
      <c r="N167" s="157"/>
      <c r="O167" s="304"/>
      <c r="P167" s="304"/>
    </row>
    <row r="168" spans="3:16" s="159" customFormat="1" x14ac:dyDescent="0.2">
      <c r="C168" s="657"/>
      <c r="D168" s="657"/>
      <c r="M168" s="278"/>
      <c r="N168" s="157"/>
      <c r="O168" s="304"/>
      <c r="P168" s="304"/>
    </row>
    <row r="169" spans="3:16" s="159" customFormat="1" x14ac:dyDescent="0.2">
      <c r="C169" s="657"/>
      <c r="D169" s="657"/>
      <c r="M169" s="278"/>
      <c r="N169" s="157"/>
      <c r="O169" s="304"/>
      <c r="P169" s="304"/>
    </row>
    <row r="170" spans="3:16" s="159" customFormat="1" x14ac:dyDescent="0.2">
      <c r="C170" s="657"/>
      <c r="D170" s="657"/>
      <c r="M170" s="278"/>
      <c r="N170" s="157"/>
      <c r="O170" s="304"/>
      <c r="P170" s="304"/>
    </row>
    <row r="171" spans="3:16" s="159" customFormat="1" x14ac:dyDescent="0.2">
      <c r="C171" s="657"/>
      <c r="D171" s="657"/>
      <c r="M171" s="278"/>
      <c r="N171" s="157"/>
      <c r="O171" s="304"/>
      <c r="P171" s="304"/>
    </row>
    <row r="172" spans="3:16" s="159" customFormat="1" x14ac:dyDescent="0.2">
      <c r="C172" s="657"/>
      <c r="D172" s="657"/>
      <c r="M172" s="278"/>
      <c r="N172" s="157"/>
      <c r="O172" s="304"/>
      <c r="P172" s="304"/>
    </row>
    <row r="173" spans="3:16" s="159" customFormat="1" x14ac:dyDescent="0.2">
      <c r="C173" s="657"/>
      <c r="D173" s="657"/>
      <c r="M173" s="278"/>
      <c r="N173" s="157"/>
      <c r="O173" s="304"/>
      <c r="P173" s="304"/>
    </row>
    <row r="174" spans="3:16" s="159" customFormat="1" x14ac:dyDescent="0.2">
      <c r="C174" s="657"/>
      <c r="D174" s="657"/>
      <c r="M174" s="278"/>
      <c r="N174" s="157"/>
      <c r="O174" s="304"/>
      <c r="P174" s="304"/>
    </row>
    <row r="175" spans="3:16" s="159" customFormat="1" x14ac:dyDescent="0.2">
      <c r="C175" s="657"/>
      <c r="D175" s="657"/>
      <c r="M175" s="278"/>
      <c r="N175" s="157"/>
      <c r="O175" s="304"/>
      <c r="P175" s="304"/>
    </row>
    <row r="176" spans="3:16" s="159" customFormat="1" x14ac:dyDescent="0.2">
      <c r="C176" s="657"/>
      <c r="D176" s="657"/>
      <c r="M176" s="278"/>
      <c r="N176" s="157"/>
      <c r="O176" s="304"/>
      <c r="P176" s="304"/>
    </row>
    <row r="177" spans="3:16" s="159" customFormat="1" x14ac:dyDescent="0.2">
      <c r="C177" s="657"/>
      <c r="D177" s="657"/>
      <c r="M177" s="278"/>
      <c r="N177" s="157"/>
      <c r="O177" s="304"/>
      <c r="P177" s="304"/>
    </row>
    <row r="178" spans="3:16" s="159" customFormat="1" x14ac:dyDescent="0.2">
      <c r="C178" s="657"/>
      <c r="D178" s="657"/>
      <c r="M178" s="278"/>
      <c r="N178" s="157"/>
      <c r="O178" s="304"/>
      <c r="P178" s="304"/>
    </row>
    <row r="179" spans="3:16" s="159" customFormat="1" x14ac:dyDescent="0.2">
      <c r="C179" s="657"/>
      <c r="D179" s="657"/>
      <c r="M179" s="278"/>
      <c r="N179" s="157"/>
      <c r="O179" s="304"/>
      <c r="P179" s="304"/>
    </row>
    <row r="180" spans="3:16" s="159" customFormat="1" x14ac:dyDescent="0.2">
      <c r="C180" s="657"/>
      <c r="D180" s="657"/>
      <c r="M180" s="278"/>
      <c r="N180" s="157"/>
      <c r="O180" s="304"/>
      <c r="P180" s="304"/>
    </row>
    <row r="181" spans="3:16" s="159" customFormat="1" x14ac:dyDescent="0.2">
      <c r="C181" s="657"/>
      <c r="D181" s="657"/>
      <c r="M181" s="278"/>
      <c r="N181" s="157"/>
      <c r="O181" s="304"/>
      <c r="P181" s="304"/>
    </row>
    <row r="182" spans="3:16" s="159" customFormat="1" x14ac:dyDescent="0.2">
      <c r="C182" s="657"/>
      <c r="D182" s="657"/>
      <c r="M182" s="278"/>
      <c r="N182" s="157"/>
      <c r="O182" s="304"/>
      <c r="P182" s="304"/>
    </row>
    <row r="183" spans="3:16" s="159" customFormat="1" x14ac:dyDescent="0.2">
      <c r="C183" s="657"/>
      <c r="D183" s="657"/>
      <c r="M183" s="278"/>
      <c r="N183" s="157"/>
      <c r="O183" s="304"/>
      <c r="P183" s="304"/>
    </row>
    <row r="184" spans="3:16" s="159" customFormat="1" x14ac:dyDescent="0.2">
      <c r="C184" s="657"/>
      <c r="D184" s="657"/>
      <c r="M184" s="278"/>
      <c r="N184" s="157"/>
      <c r="O184" s="304"/>
      <c r="P184" s="304"/>
    </row>
    <row r="185" spans="3:16" s="159" customFormat="1" x14ac:dyDescent="0.2">
      <c r="C185" s="657"/>
      <c r="D185" s="657"/>
      <c r="M185" s="278"/>
      <c r="N185" s="157"/>
      <c r="O185" s="304"/>
      <c r="P185" s="304"/>
    </row>
    <row r="186" spans="3:16" s="159" customFormat="1" x14ac:dyDescent="0.2">
      <c r="C186" s="657"/>
      <c r="D186" s="657"/>
      <c r="M186" s="278"/>
      <c r="N186" s="157"/>
      <c r="O186" s="304"/>
      <c r="P186" s="304"/>
    </row>
    <row r="187" spans="3:16" s="159" customFormat="1" x14ac:dyDescent="0.2">
      <c r="C187" s="657"/>
      <c r="D187" s="657"/>
      <c r="M187" s="278"/>
      <c r="N187" s="157"/>
      <c r="O187" s="304"/>
      <c r="P187" s="304"/>
    </row>
    <row r="188" spans="3:16" s="159" customFormat="1" x14ac:dyDescent="0.2">
      <c r="C188" s="657"/>
      <c r="D188" s="657"/>
      <c r="M188" s="278"/>
      <c r="N188" s="157"/>
      <c r="O188" s="304"/>
      <c r="P188" s="304"/>
    </row>
    <row r="189" spans="3:16" s="159" customFormat="1" x14ac:dyDescent="0.2">
      <c r="C189" s="657"/>
      <c r="D189" s="657"/>
      <c r="M189" s="278"/>
      <c r="N189" s="157"/>
      <c r="O189" s="304"/>
      <c r="P189" s="304"/>
    </row>
    <row r="190" spans="3:16" s="159" customFormat="1" x14ac:dyDescent="0.2">
      <c r="C190" s="657"/>
      <c r="D190" s="657"/>
      <c r="M190" s="278"/>
      <c r="N190" s="157"/>
      <c r="O190" s="304"/>
      <c r="P190" s="304"/>
    </row>
    <row r="191" spans="3:16" s="159" customFormat="1" x14ac:dyDescent="0.2">
      <c r="C191" s="657"/>
      <c r="D191" s="657"/>
      <c r="M191" s="278"/>
      <c r="N191" s="157"/>
      <c r="O191" s="304"/>
      <c r="P191" s="304"/>
    </row>
    <row r="192" spans="3:16" s="159" customFormat="1" x14ac:dyDescent="0.2">
      <c r="C192" s="657"/>
      <c r="D192" s="657"/>
      <c r="M192" s="278"/>
      <c r="N192" s="157"/>
      <c r="O192" s="304"/>
      <c r="P192" s="304"/>
    </row>
    <row r="193" spans="3:16" s="159" customFormat="1" x14ac:dyDescent="0.2">
      <c r="C193" s="657"/>
      <c r="D193" s="657"/>
      <c r="M193" s="278"/>
      <c r="N193" s="157"/>
      <c r="O193" s="304"/>
      <c r="P193" s="304"/>
    </row>
    <row r="194" spans="3:16" s="159" customFormat="1" x14ac:dyDescent="0.2">
      <c r="C194" s="657"/>
      <c r="D194" s="657"/>
      <c r="M194" s="278"/>
      <c r="N194" s="157"/>
      <c r="O194" s="304"/>
      <c r="P194" s="304"/>
    </row>
    <row r="195" spans="3:16" s="159" customFormat="1" x14ac:dyDescent="0.2">
      <c r="C195" s="657"/>
      <c r="D195" s="657"/>
      <c r="M195" s="278"/>
      <c r="N195" s="157"/>
      <c r="O195" s="304"/>
      <c r="P195" s="304"/>
    </row>
    <row r="196" spans="3:16" s="159" customFormat="1" x14ac:dyDescent="0.2">
      <c r="C196" s="657"/>
      <c r="D196" s="657"/>
      <c r="M196" s="278"/>
      <c r="N196" s="157"/>
      <c r="O196" s="304"/>
      <c r="P196" s="304"/>
    </row>
    <row r="197" spans="3:16" s="159" customFormat="1" x14ac:dyDescent="0.2">
      <c r="C197" s="657"/>
      <c r="D197" s="657"/>
      <c r="M197" s="278"/>
      <c r="N197" s="157"/>
      <c r="O197" s="304"/>
      <c r="P197" s="304"/>
    </row>
    <row r="198" spans="3:16" s="159" customFormat="1" x14ac:dyDescent="0.2">
      <c r="C198" s="657"/>
      <c r="D198" s="657"/>
      <c r="M198" s="278"/>
      <c r="N198" s="157"/>
      <c r="O198" s="304"/>
      <c r="P198" s="304"/>
    </row>
    <row r="199" spans="3:16" s="159" customFormat="1" x14ac:dyDescent="0.2">
      <c r="C199" s="657"/>
      <c r="D199" s="657"/>
      <c r="M199" s="278"/>
      <c r="N199" s="157"/>
      <c r="O199" s="304"/>
      <c r="P199" s="304"/>
    </row>
    <row r="200" spans="3:16" s="159" customFormat="1" x14ac:dyDescent="0.2">
      <c r="C200" s="657"/>
      <c r="D200" s="657"/>
      <c r="M200" s="278"/>
      <c r="N200" s="157"/>
      <c r="O200" s="304"/>
      <c r="P200" s="304"/>
    </row>
    <row r="201" spans="3:16" s="159" customFormat="1" x14ac:dyDescent="0.2">
      <c r="C201" s="657"/>
      <c r="D201" s="657"/>
      <c r="M201" s="278"/>
      <c r="N201" s="157"/>
      <c r="O201" s="304"/>
      <c r="P201" s="304"/>
    </row>
    <row r="202" spans="3:16" s="159" customFormat="1" x14ac:dyDescent="0.2">
      <c r="C202" s="657"/>
      <c r="D202" s="657"/>
      <c r="M202" s="278"/>
      <c r="N202" s="157"/>
      <c r="O202" s="304"/>
      <c r="P202" s="304"/>
    </row>
    <row r="203" spans="3:16" s="159" customFormat="1" x14ac:dyDescent="0.2">
      <c r="C203" s="657"/>
      <c r="D203" s="657"/>
      <c r="M203" s="278"/>
      <c r="N203" s="157"/>
      <c r="O203" s="304"/>
      <c r="P203" s="304"/>
    </row>
    <row r="204" spans="3:16" s="159" customFormat="1" x14ac:dyDescent="0.2">
      <c r="C204" s="657"/>
      <c r="D204" s="657"/>
      <c r="M204" s="278"/>
      <c r="N204" s="157"/>
      <c r="O204" s="304"/>
      <c r="P204" s="304"/>
    </row>
    <row r="205" spans="3:16" s="159" customFormat="1" x14ac:dyDescent="0.2">
      <c r="C205" s="657"/>
      <c r="D205" s="657"/>
      <c r="M205" s="278"/>
      <c r="N205" s="157"/>
      <c r="O205" s="304"/>
      <c r="P205" s="304"/>
    </row>
    <row r="206" spans="3:16" s="159" customFormat="1" x14ac:dyDescent="0.2">
      <c r="C206" s="657"/>
      <c r="D206" s="657"/>
      <c r="M206" s="278"/>
      <c r="N206" s="157"/>
      <c r="O206" s="304"/>
      <c r="P206" s="304"/>
    </row>
    <row r="207" spans="3:16" s="159" customFormat="1" x14ac:dyDescent="0.2">
      <c r="C207" s="657"/>
      <c r="D207" s="657"/>
      <c r="M207" s="278"/>
      <c r="N207" s="157"/>
      <c r="O207" s="304"/>
      <c r="P207" s="304"/>
    </row>
    <row r="208" spans="3:16" s="159" customFormat="1" x14ac:dyDescent="0.2">
      <c r="C208" s="657"/>
      <c r="D208" s="657"/>
      <c r="M208" s="278"/>
      <c r="N208" s="157"/>
      <c r="O208" s="304"/>
      <c r="P208" s="304"/>
    </row>
    <row r="209" spans="3:16" s="159" customFormat="1" x14ac:dyDescent="0.2">
      <c r="C209" s="657"/>
      <c r="D209" s="657"/>
      <c r="M209" s="278"/>
      <c r="N209" s="157"/>
      <c r="O209" s="304"/>
      <c r="P209" s="304"/>
    </row>
    <row r="210" spans="3:16" s="159" customFormat="1" x14ac:dyDescent="0.2">
      <c r="C210" s="657"/>
      <c r="D210" s="657"/>
      <c r="M210" s="278"/>
      <c r="N210" s="157"/>
      <c r="O210" s="304"/>
      <c r="P210" s="304"/>
    </row>
    <row r="211" spans="3:16" s="159" customFormat="1" x14ac:dyDescent="0.2">
      <c r="C211" s="657"/>
      <c r="D211" s="657"/>
      <c r="M211" s="278"/>
      <c r="N211" s="157"/>
      <c r="O211" s="304"/>
      <c r="P211" s="304"/>
    </row>
    <row r="212" spans="3:16" s="159" customFormat="1" x14ac:dyDescent="0.2">
      <c r="C212" s="657"/>
      <c r="D212" s="657"/>
      <c r="M212" s="278"/>
      <c r="N212" s="157"/>
      <c r="O212" s="304"/>
      <c r="P212" s="304"/>
    </row>
    <row r="213" spans="3:16" s="159" customFormat="1" x14ac:dyDescent="0.2">
      <c r="C213" s="657"/>
      <c r="D213" s="657"/>
      <c r="M213" s="278"/>
      <c r="N213" s="157"/>
      <c r="O213" s="304"/>
      <c r="P213" s="304"/>
    </row>
    <row r="214" spans="3:16" s="159" customFormat="1" x14ac:dyDescent="0.2">
      <c r="C214" s="657"/>
      <c r="D214" s="657"/>
      <c r="M214" s="278"/>
      <c r="N214" s="157"/>
      <c r="O214" s="304"/>
      <c r="P214" s="304"/>
    </row>
    <row r="215" spans="3:16" s="159" customFormat="1" x14ac:dyDescent="0.2">
      <c r="C215" s="657"/>
      <c r="D215" s="657"/>
      <c r="M215" s="278"/>
      <c r="N215" s="157"/>
      <c r="O215" s="304"/>
      <c r="P215" s="304"/>
    </row>
    <row r="216" spans="3:16" s="159" customFormat="1" x14ac:dyDescent="0.2">
      <c r="C216" s="657"/>
      <c r="D216" s="657"/>
      <c r="M216" s="278"/>
      <c r="N216" s="157"/>
      <c r="O216" s="304"/>
      <c r="P216" s="304"/>
    </row>
    <row r="217" spans="3:16" s="159" customFormat="1" x14ac:dyDescent="0.2">
      <c r="C217" s="657"/>
      <c r="D217" s="657"/>
      <c r="M217" s="278"/>
      <c r="N217" s="157"/>
      <c r="O217" s="304"/>
      <c r="P217" s="304"/>
    </row>
    <row r="218" spans="3:16" s="159" customFormat="1" x14ac:dyDescent="0.2">
      <c r="C218" s="657"/>
      <c r="D218" s="657"/>
      <c r="M218" s="278"/>
      <c r="N218" s="157"/>
      <c r="O218" s="304"/>
      <c r="P218" s="304"/>
    </row>
    <row r="219" spans="3:16" s="159" customFormat="1" x14ac:dyDescent="0.2">
      <c r="C219" s="657"/>
      <c r="D219" s="657"/>
      <c r="M219" s="278"/>
      <c r="N219" s="157"/>
      <c r="O219" s="304"/>
      <c r="P219" s="304"/>
    </row>
    <row r="220" spans="3:16" s="159" customFormat="1" x14ac:dyDescent="0.2">
      <c r="C220" s="657"/>
      <c r="D220" s="657"/>
      <c r="M220" s="278"/>
      <c r="N220" s="157"/>
      <c r="O220" s="304"/>
      <c r="P220" s="304"/>
    </row>
    <row r="221" spans="3:16" s="159" customFormat="1" x14ac:dyDescent="0.2">
      <c r="C221" s="657"/>
      <c r="D221" s="657"/>
      <c r="M221" s="278"/>
      <c r="N221" s="157"/>
      <c r="O221" s="304"/>
      <c r="P221" s="304"/>
    </row>
    <row r="222" spans="3:16" s="159" customFormat="1" x14ac:dyDescent="0.2">
      <c r="C222" s="657"/>
      <c r="D222" s="657"/>
      <c r="M222" s="278"/>
      <c r="N222" s="157"/>
      <c r="O222" s="304"/>
      <c r="P222" s="304"/>
    </row>
    <row r="223" spans="3:16" s="159" customFormat="1" x14ac:dyDescent="0.2">
      <c r="C223" s="657"/>
      <c r="D223" s="657"/>
      <c r="M223" s="278"/>
      <c r="N223" s="157"/>
      <c r="O223" s="304"/>
      <c r="P223" s="304"/>
    </row>
    <row r="224" spans="3:16" s="159" customFormat="1" x14ac:dyDescent="0.2">
      <c r="C224" s="657"/>
      <c r="D224" s="657"/>
      <c r="M224" s="278"/>
      <c r="N224" s="157"/>
      <c r="O224" s="304"/>
      <c r="P224" s="304"/>
    </row>
    <row r="225" spans="3:16" s="159" customFormat="1" x14ac:dyDescent="0.2">
      <c r="C225" s="657"/>
      <c r="D225" s="657"/>
      <c r="M225" s="278"/>
      <c r="N225" s="157"/>
      <c r="O225" s="304"/>
      <c r="P225" s="304"/>
    </row>
    <row r="226" spans="3:16" s="159" customFormat="1" x14ac:dyDescent="0.2">
      <c r="C226" s="657"/>
      <c r="D226" s="657"/>
      <c r="M226" s="278"/>
      <c r="N226" s="157"/>
      <c r="O226" s="304"/>
      <c r="P226" s="304"/>
    </row>
    <row r="227" spans="3:16" s="159" customFormat="1" x14ac:dyDescent="0.2">
      <c r="C227" s="657"/>
      <c r="D227" s="657"/>
      <c r="M227" s="278"/>
      <c r="N227" s="157"/>
      <c r="O227" s="304"/>
      <c r="P227" s="304"/>
    </row>
    <row r="228" spans="3:16" s="159" customFormat="1" x14ac:dyDescent="0.2">
      <c r="C228" s="657"/>
      <c r="D228" s="657"/>
      <c r="M228" s="278"/>
      <c r="N228" s="157"/>
      <c r="O228" s="304"/>
      <c r="P228" s="304"/>
    </row>
    <row r="229" spans="3:16" s="159" customFormat="1" x14ac:dyDescent="0.2">
      <c r="C229" s="657"/>
      <c r="D229" s="657"/>
      <c r="M229" s="278"/>
      <c r="N229" s="157"/>
      <c r="O229" s="304"/>
      <c r="P229" s="304"/>
    </row>
    <row r="230" spans="3:16" s="159" customFormat="1" x14ac:dyDescent="0.2">
      <c r="C230" s="657"/>
      <c r="D230" s="657"/>
      <c r="M230" s="278"/>
      <c r="N230" s="157"/>
      <c r="O230" s="304"/>
      <c r="P230" s="304"/>
    </row>
    <row r="231" spans="3:16" s="159" customFormat="1" x14ac:dyDescent="0.2">
      <c r="C231" s="657"/>
      <c r="D231" s="657"/>
      <c r="M231" s="278"/>
      <c r="N231" s="157"/>
      <c r="O231" s="304"/>
      <c r="P231" s="304"/>
    </row>
    <row r="232" spans="3:16" s="159" customFormat="1" x14ac:dyDescent="0.2">
      <c r="C232" s="657"/>
      <c r="D232" s="657"/>
      <c r="M232" s="278"/>
      <c r="N232" s="157"/>
      <c r="O232" s="304"/>
      <c r="P232" s="304"/>
    </row>
    <row r="233" spans="3:16" s="159" customFormat="1" x14ac:dyDescent="0.2">
      <c r="C233" s="657"/>
      <c r="D233" s="657"/>
      <c r="M233" s="278"/>
      <c r="N233" s="157"/>
      <c r="O233" s="304"/>
      <c r="P233" s="304"/>
    </row>
    <row r="234" spans="3:16" s="159" customFormat="1" x14ac:dyDescent="0.2">
      <c r="C234" s="657"/>
      <c r="D234" s="657"/>
      <c r="M234" s="278"/>
      <c r="N234" s="157"/>
      <c r="O234" s="304"/>
      <c r="P234" s="304"/>
    </row>
    <row r="235" spans="3:16" s="159" customFormat="1" x14ac:dyDescent="0.2">
      <c r="C235" s="657"/>
      <c r="D235" s="657"/>
      <c r="M235" s="278"/>
      <c r="N235" s="157"/>
      <c r="O235" s="304"/>
      <c r="P235" s="304"/>
    </row>
    <row r="236" spans="3:16" s="159" customFormat="1" x14ac:dyDescent="0.2">
      <c r="C236" s="657"/>
      <c r="D236" s="657"/>
      <c r="M236" s="278"/>
      <c r="N236" s="157"/>
      <c r="O236" s="304"/>
      <c r="P236" s="304"/>
    </row>
    <row r="237" spans="3:16" s="159" customFormat="1" x14ac:dyDescent="0.2">
      <c r="C237" s="657"/>
      <c r="D237" s="657"/>
      <c r="M237" s="278"/>
      <c r="N237" s="157"/>
      <c r="O237" s="304"/>
      <c r="P237" s="304"/>
    </row>
    <row r="238" spans="3:16" s="159" customFormat="1" x14ac:dyDescent="0.2">
      <c r="C238" s="657"/>
      <c r="D238" s="657"/>
      <c r="M238" s="278"/>
      <c r="N238" s="157"/>
      <c r="O238" s="304"/>
      <c r="P238" s="304"/>
    </row>
    <row r="239" spans="3:16" s="159" customFormat="1" x14ac:dyDescent="0.2">
      <c r="C239" s="657"/>
      <c r="D239" s="657"/>
      <c r="M239" s="278"/>
      <c r="N239" s="157"/>
      <c r="O239" s="304"/>
      <c r="P239" s="304"/>
    </row>
    <row r="240" spans="3:16" s="159" customFormat="1" x14ac:dyDescent="0.2">
      <c r="C240" s="657"/>
      <c r="D240" s="657"/>
      <c r="M240" s="278"/>
      <c r="N240" s="157"/>
      <c r="O240" s="304"/>
      <c r="P240" s="304"/>
    </row>
    <row r="241" spans="3:16" s="159" customFormat="1" x14ac:dyDescent="0.2">
      <c r="C241" s="657"/>
      <c r="D241" s="657"/>
      <c r="M241" s="278"/>
      <c r="N241" s="157"/>
      <c r="O241" s="304"/>
      <c r="P241" s="304"/>
    </row>
    <row r="242" spans="3:16" s="159" customFormat="1" x14ac:dyDescent="0.2">
      <c r="C242" s="657"/>
      <c r="D242" s="657"/>
      <c r="M242" s="278"/>
      <c r="N242" s="157"/>
      <c r="O242" s="304"/>
      <c r="P242" s="304"/>
    </row>
    <row r="243" spans="3:16" s="159" customFormat="1" x14ac:dyDescent="0.2">
      <c r="C243" s="657"/>
      <c r="D243" s="657"/>
      <c r="M243" s="278"/>
      <c r="N243" s="157"/>
      <c r="O243" s="304"/>
      <c r="P243" s="304"/>
    </row>
    <row r="244" spans="3:16" s="159" customFormat="1" x14ac:dyDescent="0.2">
      <c r="C244" s="657"/>
      <c r="D244" s="657"/>
      <c r="M244" s="278"/>
      <c r="N244" s="157"/>
      <c r="O244" s="304"/>
      <c r="P244" s="304"/>
    </row>
    <row r="245" spans="3:16" s="159" customFormat="1" x14ac:dyDescent="0.2">
      <c r="C245" s="657"/>
      <c r="D245" s="657"/>
      <c r="M245" s="278"/>
      <c r="N245" s="157"/>
      <c r="O245" s="304"/>
      <c r="P245" s="304"/>
    </row>
    <row r="246" spans="3:16" s="159" customFormat="1" x14ac:dyDescent="0.2">
      <c r="C246" s="657"/>
      <c r="D246" s="657"/>
      <c r="M246" s="278"/>
      <c r="N246" s="157"/>
      <c r="O246" s="304"/>
      <c r="P246" s="304"/>
    </row>
    <row r="247" spans="3:16" s="159" customFormat="1" x14ac:dyDescent="0.2">
      <c r="C247" s="657"/>
      <c r="D247" s="657"/>
      <c r="M247" s="278"/>
      <c r="N247" s="157"/>
      <c r="O247" s="304"/>
      <c r="P247" s="304"/>
    </row>
    <row r="248" spans="3:16" s="159" customFormat="1" x14ac:dyDescent="0.2">
      <c r="C248" s="657"/>
      <c r="D248" s="657"/>
      <c r="M248" s="278"/>
      <c r="N248" s="157"/>
      <c r="O248" s="304"/>
      <c r="P248" s="304"/>
    </row>
    <row r="249" spans="3:16" s="159" customFormat="1" x14ac:dyDescent="0.2">
      <c r="C249" s="657"/>
      <c r="D249" s="657"/>
      <c r="M249" s="278"/>
      <c r="N249" s="157"/>
      <c r="O249" s="304"/>
      <c r="P249" s="304"/>
    </row>
    <row r="250" spans="3:16" s="159" customFormat="1" x14ac:dyDescent="0.2">
      <c r="C250" s="657"/>
      <c r="D250" s="657"/>
      <c r="M250" s="278"/>
      <c r="N250" s="157"/>
      <c r="O250" s="304"/>
      <c r="P250" s="304"/>
    </row>
    <row r="251" spans="3:16" s="159" customFormat="1" x14ac:dyDescent="0.2">
      <c r="C251" s="657"/>
      <c r="D251" s="657"/>
      <c r="M251" s="278"/>
      <c r="N251" s="157"/>
      <c r="O251" s="304"/>
      <c r="P251" s="304"/>
    </row>
    <row r="252" spans="3:16" s="159" customFormat="1" x14ac:dyDescent="0.2">
      <c r="C252" s="657"/>
      <c r="D252" s="657"/>
      <c r="M252" s="278"/>
      <c r="N252" s="157"/>
      <c r="O252" s="304"/>
      <c r="P252" s="304"/>
    </row>
    <row r="253" spans="3:16" s="159" customFormat="1" x14ac:dyDescent="0.2">
      <c r="C253" s="657"/>
      <c r="D253" s="657"/>
      <c r="M253" s="278"/>
      <c r="N253" s="157"/>
      <c r="O253" s="304"/>
      <c r="P253" s="304"/>
    </row>
    <row r="254" spans="3:16" s="159" customFormat="1" x14ac:dyDescent="0.2">
      <c r="C254" s="657"/>
      <c r="D254" s="657"/>
      <c r="M254" s="278"/>
      <c r="N254" s="157"/>
      <c r="O254" s="304"/>
      <c r="P254" s="304"/>
    </row>
    <row r="255" spans="3:16" s="159" customFormat="1" x14ac:dyDescent="0.2">
      <c r="C255" s="657"/>
      <c r="D255" s="657"/>
      <c r="M255" s="278"/>
      <c r="N255" s="157"/>
      <c r="O255" s="304"/>
      <c r="P255" s="304"/>
    </row>
    <row r="256" spans="3:16" s="159" customFormat="1" x14ac:dyDescent="0.2">
      <c r="C256" s="657"/>
      <c r="D256" s="657"/>
      <c r="M256" s="278"/>
      <c r="N256" s="157"/>
      <c r="O256" s="304"/>
      <c r="P256" s="304"/>
    </row>
    <row r="257" spans="3:16" s="159" customFormat="1" x14ac:dyDescent="0.2">
      <c r="C257" s="657"/>
      <c r="D257" s="657"/>
      <c r="M257" s="278"/>
      <c r="N257" s="157"/>
      <c r="O257" s="304"/>
      <c r="P257" s="304"/>
    </row>
    <row r="258" spans="3:16" s="159" customFormat="1" x14ac:dyDescent="0.2">
      <c r="C258" s="657"/>
      <c r="D258" s="657"/>
      <c r="M258" s="278"/>
      <c r="N258" s="157"/>
      <c r="O258" s="304"/>
      <c r="P258" s="304"/>
    </row>
    <row r="259" spans="3:16" s="159" customFormat="1" x14ac:dyDescent="0.2">
      <c r="C259" s="657"/>
      <c r="D259" s="657"/>
      <c r="M259" s="278"/>
      <c r="N259" s="157"/>
      <c r="O259" s="304"/>
      <c r="P259" s="304"/>
    </row>
    <row r="260" spans="3:16" s="159" customFormat="1" x14ac:dyDescent="0.2">
      <c r="C260" s="657"/>
      <c r="D260" s="657"/>
      <c r="M260" s="278"/>
      <c r="N260" s="157"/>
      <c r="O260" s="304"/>
      <c r="P260" s="304"/>
    </row>
    <row r="261" spans="3:16" s="159" customFormat="1" x14ac:dyDescent="0.2">
      <c r="C261" s="657"/>
      <c r="D261" s="657"/>
      <c r="M261" s="278"/>
      <c r="N261" s="157"/>
      <c r="O261" s="304"/>
      <c r="P261" s="304"/>
    </row>
    <row r="262" spans="3:16" s="159" customFormat="1" x14ac:dyDescent="0.2">
      <c r="C262" s="657"/>
      <c r="D262" s="657"/>
      <c r="M262" s="278"/>
      <c r="N262" s="157"/>
      <c r="O262" s="304"/>
      <c r="P262" s="304"/>
    </row>
    <row r="263" spans="3:16" s="159" customFormat="1" x14ac:dyDescent="0.2">
      <c r="C263" s="657"/>
      <c r="D263" s="657"/>
      <c r="M263" s="278"/>
      <c r="N263" s="157"/>
      <c r="O263" s="304"/>
      <c r="P263" s="304"/>
    </row>
    <row r="264" spans="3:16" s="159" customFormat="1" x14ac:dyDescent="0.2">
      <c r="C264" s="657"/>
      <c r="D264" s="657"/>
      <c r="M264" s="278"/>
      <c r="N264" s="157"/>
      <c r="O264" s="304"/>
      <c r="P264" s="304"/>
    </row>
    <row r="265" spans="3:16" s="159" customFormat="1" x14ac:dyDescent="0.2">
      <c r="C265" s="657"/>
      <c r="D265" s="657"/>
      <c r="M265" s="278"/>
      <c r="N265" s="157"/>
      <c r="O265" s="304"/>
      <c r="P265" s="304"/>
    </row>
    <row r="266" spans="3:16" s="159" customFormat="1" x14ac:dyDescent="0.2">
      <c r="C266" s="657"/>
      <c r="D266" s="657"/>
      <c r="M266" s="278"/>
      <c r="N266" s="157"/>
      <c r="O266" s="304"/>
      <c r="P266" s="304"/>
    </row>
    <row r="267" spans="3:16" s="159" customFormat="1" x14ac:dyDescent="0.2">
      <c r="C267" s="657"/>
      <c r="D267" s="657"/>
      <c r="M267" s="278"/>
      <c r="N267" s="157"/>
      <c r="O267" s="304"/>
      <c r="P267" s="304"/>
    </row>
    <row r="268" spans="3:16" s="159" customFormat="1" x14ac:dyDescent="0.2">
      <c r="C268" s="657"/>
      <c r="D268" s="657"/>
      <c r="M268" s="278"/>
      <c r="N268" s="157"/>
      <c r="O268" s="304"/>
      <c r="P268" s="304"/>
    </row>
    <row r="269" spans="3:16" s="159" customFormat="1" x14ac:dyDescent="0.2">
      <c r="C269" s="657"/>
      <c r="D269" s="657"/>
      <c r="M269" s="278"/>
      <c r="N269" s="157"/>
      <c r="O269" s="304"/>
      <c r="P269" s="304"/>
    </row>
    <row r="270" spans="3:16" s="159" customFormat="1" x14ac:dyDescent="0.2">
      <c r="C270" s="657"/>
      <c r="D270" s="657"/>
      <c r="M270" s="278"/>
      <c r="N270" s="157"/>
      <c r="O270" s="304"/>
      <c r="P270" s="304"/>
    </row>
    <row r="271" spans="3:16" s="159" customFormat="1" x14ac:dyDescent="0.2">
      <c r="C271" s="657"/>
      <c r="D271" s="657"/>
      <c r="M271" s="278"/>
      <c r="N271" s="157"/>
      <c r="O271" s="304"/>
      <c r="P271" s="304"/>
    </row>
    <row r="272" spans="3:16" s="159" customFormat="1" x14ac:dyDescent="0.2">
      <c r="C272" s="657"/>
      <c r="D272" s="657"/>
      <c r="M272" s="278"/>
      <c r="N272" s="157"/>
      <c r="O272" s="304"/>
      <c r="P272" s="304"/>
    </row>
    <row r="273" spans="3:16" s="159" customFormat="1" x14ac:dyDescent="0.2">
      <c r="C273" s="657"/>
      <c r="D273" s="657"/>
      <c r="M273" s="278"/>
      <c r="N273" s="157"/>
      <c r="O273" s="304"/>
      <c r="P273" s="304"/>
    </row>
  </sheetData>
  <mergeCells count="54"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pageSetUpPr fitToPage="1"/>
  </sheetPr>
  <dimension ref="A1:Q274"/>
  <sheetViews>
    <sheetView topLeftCell="A7" zoomScale="90" zoomScaleNormal="75" zoomScaleSheetLayoutView="90" zoomScalePageLayoutView="75" workbookViewId="0">
      <selection activeCell="J13" sqref="J13"/>
    </sheetView>
  </sheetViews>
  <sheetFormatPr defaultColWidth="9.140625" defaultRowHeight="12.75" x14ac:dyDescent="0.2"/>
  <cols>
    <col min="1" max="1" width="12.140625" style="157" bestFit="1" customWidth="1"/>
    <col min="2" max="2" width="50" style="157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41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371</v>
      </c>
      <c r="B10" s="527" t="s">
        <v>372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 t="s">
        <v>1037</v>
      </c>
      <c r="C11" s="373">
        <v>14</v>
      </c>
      <c r="D11" s="374" t="s">
        <v>1036</v>
      </c>
      <c r="E11" s="255">
        <v>4333.33</v>
      </c>
      <c r="F11" s="375">
        <v>0</v>
      </c>
      <c r="G11" s="531"/>
      <c r="H11" s="377">
        <v>0</v>
      </c>
      <c r="I11" s="375">
        <f t="shared" ref="I11:I22" si="0">G11*H11</f>
        <v>0</v>
      </c>
      <c r="J11" s="378"/>
      <c r="K11" s="532">
        <f t="shared" ref="K11:K22" si="1">F11+I11+J11</f>
        <v>0</v>
      </c>
      <c r="L11" s="380" t="s">
        <v>1086</v>
      </c>
      <c r="M11" s="278">
        <v>129800</v>
      </c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ref="F12:F22" si="2">C12*E12</f>
        <v>0</v>
      </c>
      <c r="G12" s="531"/>
      <c r="H12" s="377">
        <v>0</v>
      </c>
      <c r="I12" s="375">
        <f t="shared" si="0"/>
        <v>0</v>
      </c>
      <c r="J12" s="378"/>
      <c r="K12" s="532">
        <f t="shared" si="1"/>
        <v>0</v>
      </c>
      <c r="L12" s="157" t="s">
        <v>1087</v>
      </c>
      <c r="M12" s="278">
        <v>195500</v>
      </c>
      <c r="O12" s="383"/>
      <c r="P12" s="384"/>
      <c r="Q12" s="385"/>
    </row>
    <row r="13" spans="1:17" x14ac:dyDescent="0.2">
      <c r="A13" s="372"/>
      <c r="B13" s="5"/>
      <c r="C13" s="570">
        <f>E6</f>
        <v>1747</v>
      </c>
      <c r="D13" s="374" t="s">
        <v>730</v>
      </c>
      <c r="E13" s="255">
        <f>26.67*1.1</f>
        <v>29.337000000000003</v>
      </c>
      <c r="F13" s="375">
        <v>0</v>
      </c>
      <c r="G13" s="531"/>
      <c r="H13" s="377">
        <v>0</v>
      </c>
      <c r="I13" s="375">
        <f t="shared" si="0"/>
        <v>0</v>
      </c>
      <c r="J13" s="378">
        <f>M11</f>
        <v>129800</v>
      </c>
      <c r="K13" s="532">
        <f t="shared" si="1"/>
        <v>129800</v>
      </c>
      <c r="L13" s="157" t="s">
        <v>1088</v>
      </c>
      <c r="M13" s="278">
        <v>137260</v>
      </c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2"/>
        <v>0</v>
      </c>
      <c r="G14" s="531"/>
      <c r="H14" s="377">
        <v>0</v>
      </c>
      <c r="I14" s="375">
        <f t="shared" si="0"/>
        <v>0</v>
      </c>
      <c r="J14" s="378"/>
      <c r="K14" s="532">
        <f t="shared" si="1"/>
        <v>0</v>
      </c>
      <c r="L14" s="157" t="s">
        <v>1089</v>
      </c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2"/>
        <v>0</v>
      </c>
      <c r="G15" s="531"/>
      <c r="H15" s="377">
        <v>0</v>
      </c>
      <c r="I15" s="375">
        <f t="shared" si="0"/>
        <v>0</v>
      </c>
      <c r="J15" s="378"/>
      <c r="K15" s="532">
        <f t="shared" si="1"/>
        <v>0</v>
      </c>
      <c r="L15" s="157" t="s">
        <v>1090</v>
      </c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2"/>
        <v>0</v>
      </c>
      <c r="G16" s="531"/>
      <c r="H16" s="377">
        <v>0</v>
      </c>
      <c r="I16" s="375">
        <f t="shared" si="0"/>
        <v>0</v>
      </c>
      <c r="J16" s="378"/>
      <c r="K16" s="532">
        <f t="shared" si="1"/>
        <v>0</v>
      </c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2"/>
        <v>0</v>
      </c>
      <c r="G17" s="531"/>
      <c r="H17" s="377">
        <v>0</v>
      </c>
      <c r="I17" s="375">
        <f t="shared" si="0"/>
        <v>0</v>
      </c>
      <c r="J17" s="378"/>
      <c r="K17" s="532">
        <f t="shared" si="1"/>
        <v>0</v>
      </c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2"/>
        <v>0</v>
      </c>
      <c r="G18" s="531"/>
      <c r="H18" s="377">
        <v>0</v>
      </c>
      <c r="I18" s="375">
        <f t="shared" si="0"/>
        <v>0</v>
      </c>
      <c r="J18" s="378"/>
      <c r="K18" s="532">
        <f t="shared" si="1"/>
        <v>0</v>
      </c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2"/>
        <v>0</v>
      </c>
      <c r="G19" s="531"/>
      <c r="H19" s="377">
        <v>0</v>
      </c>
      <c r="I19" s="375">
        <f t="shared" si="0"/>
        <v>0</v>
      </c>
      <c r="J19" s="378"/>
      <c r="K19" s="532">
        <f t="shared" si="1"/>
        <v>0</v>
      </c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2"/>
        <v>0</v>
      </c>
      <c r="G20" s="531"/>
      <c r="H20" s="377">
        <v>0</v>
      </c>
      <c r="I20" s="375">
        <f t="shared" si="0"/>
        <v>0</v>
      </c>
      <c r="J20" s="378"/>
      <c r="K20" s="532">
        <f t="shared" si="1"/>
        <v>0</v>
      </c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2"/>
        <v>0</v>
      </c>
      <c r="G21" s="531"/>
      <c r="H21" s="377">
        <v>0</v>
      </c>
      <c r="I21" s="375">
        <f t="shared" si="0"/>
        <v>0</v>
      </c>
      <c r="J21" s="378"/>
      <c r="K21" s="532">
        <f t="shared" si="1"/>
        <v>0</v>
      </c>
      <c r="L21" s="380" t="s">
        <v>1029</v>
      </c>
      <c r="M21" s="381">
        <v>5993.33</v>
      </c>
      <c r="N21" s="382" t="s">
        <v>1035</v>
      </c>
      <c r="O21" s="383"/>
      <c r="P21" s="384"/>
      <c r="Q21" s="385"/>
    </row>
    <row r="22" spans="1:17" ht="25.5" x14ac:dyDescent="0.2">
      <c r="A22" s="386"/>
      <c r="B22" s="5"/>
      <c r="C22" s="373"/>
      <c r="D22" s="374" t="s">
        <v>21</v>
      </c>
      <c r="E22" s="255">
        <v>0</v>
      </c>
      <c r="F22" s="375">
        <f t="shared" si="2"/>
        <v>0</v>
      </c>
      <c r="G22" s="531"/>
      <c r="H22" s="377">
        <v>0</v>
      </c>
      <c r="I22" s="375">
        <f t="shared" si="0"/>
        <v>0</v>
      </c>
      <c r="J22" s="378"/>
      <c r="K22" s="532">
        <f t="shared" si="1"/>
        <v>0</v>
      </c>
      <c r="L22" s="866" t="s">
        <v>1053</v>
      </c>
      <c r="M22" s="381">
        <v>4333.33</v>
      </c>
      <c r="N22" s="382"/>
      <c r="O22" s="383"/>
      <c r="P22" s="384"/>
      <c r="Q22" s="385"/>
    </row>
    <row r="23" spans="1:17" ht="26.2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866" t="s">
        <v>1053</v>
      </c>
      <c r="M23" s="381">
        <v>26.67</v>
      </c>
      <c r="N23" s="382" t="s">
        <v>1034</v>
      </c>
      <c r="O23" s="383"/>
      <c r="P23" s="384"/>
      <c r="Q23" s="385"/>
    </row>
    <row r="24" spans="1:17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129800</v>
      </c>
      <c r="L24" s="157"/>
      <c r="M24" s="471"/>
      <c r="O24" s="383"/>
      <c r="P24" s="384"/>
      <c r="Q24" s="385"/>
    </row>
    <row r="25" spans="1:17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ht="15.75" x14ac:dyDescent="0.25">
      <c r="A26" s="527" t="s">
        <v>373</v>
      </c>
      <c r="B26" s="527" t="s">
        <v>374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ht="15" x14ac:dyDescent="0.2">
      <c r="A27" s="196" t="s">
        <v>375</v>
      </c>
      <c r="B27" s="196" t="s">
        <v>376</v>
      </c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L27" s="157"/>
      <c r="M27" s="471"/>
      <c r="N27" s="157"/>
      <c r="O27" s="383"/>
      <c r="P27" s="384"/>
      <c r="Q27" s="385"/>
    </row>
    <row r="28" spans="1:17" s="159" customFormat="1" ht="15" x14ac:dyDescent="0.2">
      <c r="A28" s="196" t="s">
        <v>377</v>
      </c>
      <c r="B28" s="196" t="s">
        <v>378</v>
      </c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540"/>
      <c r="M32" s="257"/>
      <c r="N32" s="423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157"/>
      <c r="M33" s="471"/>
      <c r="N33" s="157"/>
      <c r="O33" s="383"/>
      <c r="P33" s="384"/>
      <c r="Q33" s="385"/>
    </row>
    <row r="34" spans="1:17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17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159" customFormat="1" ht="16.5" thickBot="1" x14ac:dyDescent="0.3">
      <c r="A37" s="527" t="s">
        <v>379</v>
      </c>
      <c r="B37" s="527" t="s">
        <v>380</v>
      </c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 t="shared" ref="F38:F44" si="6">C38*E38</f>
        <v>0</v>
      </c>
      <c r="G38" s="531"/>
      <c r="H38" s="377">
        <v>0</v>
      </c>
      <c r="I38" s="375">
        <f t="shared" ref="I38:I44" si="7">G38*H38</f>
        <v>0</v>
      </c>
      <c r="J38" s="378"/>
      <c r="K38" s="532">
        <f t="shared" ref="K38:K44" si="8">F38+I38+J38</f>
        <v>0</v>
      </c>
      <c r="L38" s="380"/>
      <c r="M38" s="381"/>
      <c r="N38" s="382"/>
      <c r="O38" s="412"/>
      <c r="P38" s="413"/>
      <c r="Q38" s="385"/>
    </row>
    <row r="39" spans="1:17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 t="shared" si="6"/>
        <v>0</v>
      </c>
      <c r="G39" s="531"/>
      <c r="H39" s="377">
        <v>0</v>
      </c>
      <c r="I39" s="375">
        <f t="shared" si="7"/>
        <v>0</v>
      </c>
      <c r="J39" s="378"/>
      <c r="K39" s="532">
        <f t="shared" si="8"/>
        <v>0</v>
      </c>
      <c r="L39" s="380"/>
      <c r="M39" s="381"/>
      <c r="N39" s="382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 t="shared" si="6"/>
        <v>0</v>
      </c>
      <c r="G40" s="531"/>
      <c r="H40" s="377">
        <v>0</v>
      </c>
      <c r="I40" s="375">
        <f t="shared" si="7"/>
        <v>0</v>
      </c>
      <c r="J40" s="378"/>
      <c r="K40" s="532">
        <f t="shared" si="8"/>
        <v>0</v>
      </c>
      <c r="L40" s="380"/>
      <c r="M40" s="381"/>
      <c r="N40" s="382"/>
      <c r="O40" s="412"/>
      <c r="P40" s="413"/>
      <c r="Q40" s="385"/>
    </row>
    <row r="41" spans="1:17" s="159" customFormat="1" x14ac:dyDescent="0.2">
      <c r="A41" s="372"/>
      <c r="B41" s="5"/>
      <c r="C41" s="373"/>
      <c r="D41" s="374" t="s">
        <v>21</v>
      </c>
      <c r="E41" s="255">
        <v>0</v>
      </c>
      <c r="F41" s="375">
        <f t="shared" si="6"/>
        <v>0</v>
      </c>
      <c r="G41" s="531"/>
      <c r="H41" s="377">
        <v>0</v>
      </c>
      <c r="I41" s="375">
        <f t="shared" si="7"/>
        <v>0</v>
      </c>
      <c r="J41" s="378"/>
      <c r="K41" s="532">
        <f t="shared" si="8"/>
        <v>0</v>
      </c>
      <c r="L41" s="380"/>
      <c r="M41" s="381"/>
      <c r="N41" s="382"/>
      <c r="O41" s="412"/>
      <c r="P41" s="413"/>
      <c r="Q41" s="385"/>
    </row>
    <row r="42" spans="1:17" s="159" customFormat="1" x14ac:dyDescent="0.2">
      <c r="A42" s="372"/>
      <c r="B42" s="5"/>
      <c r="C42" s="373"/>
      <c r="D42" s="374" t="s">
        <v>21</v>
      </c>
      <c r="E42" s="255">
        <v>0</v>
      </c>
      <c r="F42" s="375">
        <f t="shared" si="6"/>
        <v>0</v>
      </c>
      <c r="G42" s="531"/>
      <c r="H42" s="377">
        <v>0</v>
      </c>
      <c r="I42" s="375">
        <f t="shared" si="7"/>
        <v>0</v>
      </c>
      <c r="J42" s="378"/>
      <c r="K42" s="532">
        <f t="shared" si="8"/>
        <v>0</v>
      </c>
      <c r="M42" s="278"/>
      <c r="N42" s="157"/>
      <c r="O42" s="412"/>
      <c r="P42" s="413"/>
      <c r="Q42" s="385"/>
    </row>
    <row r="43" spans="1:17" s="159" customFormat="1" x14ac:dyDescent="0.2">
      <c r="A43" s="372"/>
      <c r="B43" s="5"/>
      <c r="C43" s="373"/>
      <c r="D43" s="374" t="s">
        <v>21</v>
      </c>
      <c r="E43" s="255">
        <v>0</v>
      </c>
      <c r="F43" s="375">
        <f t="shared" si="6"/>
        <v>0</v>
      </c>
      <c r="G43" s="531"/>
      <c r="H43" s="377">
        <v>0</v>
      </c>
      <c r="I43" s="375">
        <f t="shared" si="7"/>
        <v>0</v>
      </c>
      <c r="J43" s="378"/>
      <c r="K43" s="532">
        <f t="shared" si="8"/>
        <v>0</v>
      </c>
      <c r="M43" s="278"/>
      <c r="N43" s="157"/>
      <c r="O43" s="383"/>
      <c r="P43" s="384"/>
      <c r="Q43" s="385"/>
    </row>
    <row r="44" spans="1:17" s="159" customFormat="1" x14ac:dyDescent="0.2">
      <c r="A44" s="372"/>
      <c r="B44" s="5"/>
      <c r="C44" s="373"/>
      <c r="D44" s="374" t="s">
        <v>21</v>
      </c>
      <c r="E44" s="255">
        <v>0</v>
      </c>
      <c r="F44" s="375">
        <f t="shared" si="6"/>
        <v>0</v>
      </c>
      <c r="G44" s="531"/>
      <c r="H44" s="377">
        <v>0</v>
      </c>
      <c r="I44" s="375">
        <f t="shared" si="7"/>
        <v>0</v>
      </c>
      <c r="J44" s="378"/>
      <c r="K44" s="532">
        <f t="shared" si="8"/>
        <v>0</v>
      </c>
      <c r="M44" s="276"/>
      <c r="O44" s="383"/>
      <c r="P44" s="384"/>
      <c r="Q44" s="385"/>
    </row>
    <row r="45" spans="1:17" s="159" customFormat="1" ht="13.5" thickBot="1" x14ac:dyDescent="0.25">
      <c r="A45" s="389"/>
      <c r="B45" s="5"/>
      <c r="C45" s="390"/>
      <c r="D45" s="374"/>
      <c r="E45" s="255"/>
      <c r="F45" s="375"/>
      <c r="G45" s="531"/>
      <c r="H45" s="377"/>
      <c r="I45" s="375"/>
      <c r="J45" s="378"/>
      <c r="K45" s="537"/>
      <c r="M45" s="276"/>
      <c r="O45" s="383"/>
      <c r="P45" s="413"/>
      <c r="Q45" s="385"/>
    </row>
    <row r="46" spans="1:17" s="159" customFormat="1" ht="13.5" thickTop="1" x14ac:dyDescent="0.2">
      <c r="A46" s="389"/>
      <c r="B46" s="414"/>
      <c r="C46" s="390"/>
      <c r="D46" s="374"/>
      <c r="E46" s="255"/>
      <c r="F46" s="375"/>
      <c r="G46" s="531"/>
      <c r="H46" s="377"/>
      <c r="I46" s="375"/>
      <c r="J46" s="391" t="s">
        <v>30</v>
      </c>
      <c r="K46" s="534">
        <f>SUM(K38:K45)</f>
        <v>0</v>
      </c>
      <c r="L46" s="380"/>
      <c r="M46" s="257"/>
      <c r="N46" s="423"/>
      <c r="O46" s="383"/>
      <c r="P46" s="384"/>
      <c r="Q46" s="385"/>
    </row>
    <row r="47" spans="1:17" s="159" customFormat="1" ht="13.5" thickBot="1" x14ac:dyDescent="0.25">
      <c r="A47" s="355" t="s">
        <v>0</v>
      </c>
      <c r="B47" s="356" t="s">
        <v>1</v>
      </c>
      <c r="C47" s="948" t="s">
        <v>656</v>
      </c>
      <c r="D47" s="948"/>
      <c r="E47" s="948"/>
      <c r="F47" s="948"/>
      <c r="G47" s="948" t="s">
        <v>34</v>
      </c>
      <c r="H47" s="948"/>
      <c r="I47" s="948"/>
      <c r="J47" s="357"/>
      <c r="K47" s="525"/>
      <c r="L47" s="393"/>
      <c r="M47" s="394"/>
      <c r="N47" s="395"/>
      <c r="O47" s="383"/>
      <c r="P47" s="384"/>
      <c r="Q47" s="385"/>
    </row>
    <row r="48" spans="1:17" s="159" customFormat="1" ht="15.75" x14ac:dyDescent="0.25">
      <c r="A48" s="527" t="s">
        <v>381</v>
      </c>
      <c r="B48" s="527" t="s">
        <v>382</v>
      </c>
      <c r="C48" s="398" t="s">
        <v>19</v>
      </c>
      <c r="D48" s="399" t="s">
        <v>33</v>
      </c>
      <c r="E48" s="400" t="s">
        <v>35</v>
      </c>
      <c r="F48" s="401" t="s">
        <v>30</v>
      </c>
      <c r="G48" s="535" t="s">
        <v>14</v>
      </c>
      <c r="H48" s="400" t="s">
        <v>35</v>
      </c>
      <c r="I48" s="401" t="s">
        <v>30</v>
      </c>
      <c r="J48" s="366" t="s">
        <v>659</v>
      </c>
      <c r="K48" s="536" t="s">
        <v>38</v>
      </c>
      <c r="L48" s="404"/>
      <c r="M48" s="410"/>
      <c r="N48" s="411"/>
      <c r="O48" s="383"/>
      <c r="P48" s="384"/>
      <c r="Q48" s="385"/>
    </row>
    <row r="49" spans="1:17" s="159" customFormat="1" x14ac:dyDescent="0.2">
      <c r="A49" s="158" t="s">
        <v>396</v>
      </c>
      <c r="B49" s="159" t="s">
        <v>677</v>
      </c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677" t="s">
        <v>397</v>
      </c>
      <c r="B50" s="677" t="s">
        <v>394</v>
      </c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x14ac:dyDescent="0.2">
      <c r="A51" s="677" t="s">
        <v>398</v>
      </c>
      <c r="B51" s="677" t="s">
        <v>383</v>
      </c>
      <c r="C51" s="373"/>
      <c r="D51" s="374" t="s">
        <v>21</v>
      </c>
      <c r="E51" s="255">
        <v>0</v>
      </c>
      <c r="F51" s="375">
        <f t="shared" ref="F51:F62" si="9">C51*E51</f>
        <v>0</v>
      </c>
      <c r="G51" s="531"/>
      <c r="H51" s="377">
        <v>0</v>
      </c>
      <c r="I51" s="375">
        <f t="shared" ref="I51:I62" si="10">G51*H51</f>
        <v>0</v>
      </c>
      <c r="J51" s="378"/>
      <c r="K51" s="532">
        <f t="shared" ref="K51:K62" si="11">F51+I51+J51</f>
        <v>0</v>
      </c>
      <c r="L51" s="380"/>
      <c r="M51" s="257"/>
      <c r="N51" s="382"/>
      <c r="O51" s="383"/>
      <c r="P51" s="384"/>
      <c r="Q51" s="385"/>
    </row>
    <row r="52" spans="1:17" s="159" customFormat="1" x14ac:dyDescent="0.2">
      <c r="A52" s="158" t="s">
        <v>399</v>
      </c>
      <c r="B52" s="159" t="s">
        <v>384</v>
      </c>
      <c r="C52" s="373"/>
      <c r="D52" s="374" t="s">
        <v>21</v>
      </c>
      <c r="E52" s="255">
        <v>0</v>
      </c>
      <c r="F52" s="375">
        <f t="shared" si="9"/>
        <v>0</v>
      </c>
      <c r="G52" s="531"/>
      <c r="H52" s="377">
        <v>0</v>
      </c>
      <c r="I52" s="375">
        <f t="shared" si="10"/>
        <v>0</v>
      </c>
      <c r="J52" s="378"/>
      <c r="K52" s="532">
        <f t="shared" si="11"/>
        <v>0</v>
      </c>
      <c r="L52" s="157"/>
      <c r="M52" s="471"/>
      <c r="N52" s="157"/>
      <c r="O52" s="438"/>
      <c r="P52" s="439"/>
      <c r="Q52" s="385"/>
    </row>
    <row r="53" spans="1:17" s="159" customFormat="1" x14ac:dyDescent="0.2">
      <c r="A53" s="677" t="s">
        <v>400</v>
      </c>
      <c r="B53" s="677" t="s">
        <v>385</v>
      </c>
      <c r="C53" s="373"/>
      <c r="D53" s="374" t="s">
        <v>21</v>
      </c>
      <c r="E53" s="255">
        <v>0</v>
      </c>
      <c r="F53" s="375">
        <f t="shared" si="9"/>
        <v>0</v>
      </c>
      <c r="G53" s="531"/>
      <c r="H53" s="377">
        <v>0</v>
      </c>
      <c r="I53" s="375">
        <f t="shared" si="10"/>
        <v>0</v>
      </c>
      <c r="J53" s="378"/>
      <c r="K53" s="532">
        <f t="shared" si="11"/>
        <v>0</v>
      </c>
      <c r="L53" s="663"/>
      <c r="M53" s="257"/>
      <c r="N53" s="665"/>
      <c r="O53" s="438"/>
      <c r="P53" s="439"/>
      <c r="Q53" s="385"/>
    </row>
    <row r="54" spans="1:17" s="159" customFormat="1" x14ac:dyDescent="0.2">
      <c r="A54" s="677" t="s">
        <v>401</v>
      </c>
      <c r="B54" s="677" t="s">
        <v>386</v>
      </c>
      <c r="C54" s="373"/>
      <c r="D54" s="374" t="s">
        <v>21</v>
      </c>
      <c r="E54" s="255">
        <v>0</v>
      </c>
      <c r="F54" s="375">
        <f t="shared" si="9"/>
        <v>0</v>
      </c>
      <c r="G54" s="531"/>
      <c r="H54" s="377">
        <v>0</v>
      </c>
      <c r="I54" s="375">
        <f t="shared" si="10"/>
        <v>0</v>
      </c>
      <c r="J54" s="378"/>
      <c r="K54" s="532">
        <f t="shared" si="11"/>
        <v>0</v>
      </c>
      <c r="L54" s="666"/>
      <c r="M54" s="257"/>
      <c r="N54" s="667"/>
      <c r="O54" s="412"/>
      <c r="P54" s="413"/>
      <c r="Q54" s="385"/>
    </row>
    <row r="55" spans="1:17" s="159" customFormat="1" x14ac:dyDescent="0.2">
      <c r="A55" s="158" t="s">
        <v>402</v>
      </c>
      <c r="B55" s="159" t="s">
        <v>387</v>
      </c>
      <c r="C55" s="373"/>
      <c r="D55" s="374" t="s">
        <v>21</v>
      </c>
      <c r="E55" s="255">
        <v>0</v>
      </c>
      <c r="F55" s="375">
        <f t="shared" si="9"/>
        <v>0</v>
      </c>
      <c r="G55" s="531"/>
      <c r="H55" s="377">
        <v>0</v>
      </c>
      <c r="I55" s="375">
        <f t="shared" si="10"/>
        <v>0</v>
      </c>
      <c r="J55" s="378"/>
      <c r="K55" s="532">
        <f t="shared" si="11"/>
        <v>0</v>
      </c>
      <c r="M55" s="278"/>
      <c r="N55" s="157"/>
      <c r="O55" s="383"/>
      <c r="P55" s="384"/>
      <c r="Q55" s="385"/>
    </row>
    <row r="56" spans="1:17" s="159" customFormat="1" x14ac:dyDescent="0.2">
      <c r="A56" s="158" t="s">
        <v>403</v>
      </c>
      <c r="B56" s="159" t="s">
        <v>388</v>
      </c>
      <c r="C56" s="373"/>
      <c r="D56" s="374" t="s">
        <v>21</v>
      </c>
      <c r="E56" s="255">
        <v>0</v>
      </c>
      <c r="F56" s="375">
        <f t="shared" si="9"/>
        <v>0</v>
      </c>
      <c r="G56" s="531"/>
      <c r="H56" s="377">
        <v>0</v>
      </c>
      <c r="I56" s="375">
        <f t="shared" si="10"/>
        <v>0</v>
      </c>
      <c r="J56" s="378"/>
      <c r="K56" s="532">
        <f t="shared" si="11"/>
        <v>0</v>
      </c>
      <c r="L56" s="380"/>
      <c r="M56" s="257"/>
      <c r="N56" s="382"/>
      <c r="O56" s="383"/>
      <c r="P56" s="384"/>
      <c r="Q56" s="385"/>
    </row>
    <row r="57" spans="1:17" s="159" customFormat="1" x14ac:dyDescent="0.2">
      <c r="A57" s="158" t="s">
        <v>404</v>
      </c>
      <c r="B57" s="159" t="s">
        <v>389</v>
      </c>
      <c r="C57" s="373"/>
      <c r="D57" s="374" t="s">
        <v>21</v>
      </c>
      <c r="E57" s="255">
        <v>0</v>
      </c>
      <c r="F57" s="375">
        <f t="shared" si="9"/>
        <v>0</v>
      </c>
      <c r="G57" s="531"/>
      <c r="H57" s="377">
        <v>0</v>
      </c>
      <c r="I57" s="375">
        <f t="shared" si="10"/>
        <v>0</v>
      </c>
      <c r="J57" s="378"/>
      <c r="K57" s="532">
        <f t="shared" si="11"/>
        <v>0</v>
      </c>
      <c r="L57" s="380"/>
      <c r="M57" s="257"/>
      <c r="N57" s="382"/>
      <c r="O57" s="383"/>
      <c r="P57" s="384"/>
      <c r="Q57" s="385"/>
    </row>
    <row r="58" spans="1:17" s="159" customFormat="1" x14ac:dyDescent="0.2">
      <c r="A58" s="158" t="s">
        <v>405</v>
      </c>
      <c r="B58" s="159" t="s">
        <v>390</v>
      </c>
      <c r="C58" s="373"/>
      <c r="D58" s="374" t="s">
        <v>21</v>
      </c>
      <c r="E58" s="255">
        <v>0</v>
      </c>
      <c r="F58" s="375">
        <f t="shared" si="9"/>
        <v>0</v>
      </c>
      <c r="G58" s="531"/>
      <c r="H58" s="377">
        <v>0</v>
      </c>
      <c r="I58" s="375">
        <f t="shared" si="10"/>
        <v>0</v>
      </c>
      <c r="J58" s="378"/>
      <c r="K58" s="532">
        <f t="shared" si="11"/>
        <v>0</v>
      </c>
      <c r="L58" s="380"/>
      <c r="M58" s="257"/>
      <c r="N58" s="382"/>
      <c r="O58" s="383"/>
      <c r="P58" s="384"/>
      <c r="Q58" s="385"/>
    </row>
    <row r="59" spans="1:17" s="159" customFormat="1" x14ac:dyDescent="0.2">
      <c r="A59" s="158" t="s">
        <v>406</v>
      </c>
      <c r="B59" s="159" t="s">
        <v>391</v>
      </c>
      <c r="C59" s="373"/>
      <c r="D59" s="374" t="s">
        <v>21</v>
      </c>
      <c r="E59" s="255">
        <v>0</v>
      </c>
      <c r="F59" s="375">
        <f t="shared" si="9"/>
        <v>0</v>
      </c>
      <c r="G59" s="531"/>
      <c r="H59" s="377">
        <v>0</v>
      </c>
      <c r="I59" s="375">
        <f t="shared" si="10"/>
        <v>0</v>
      </c>
      <c r="J59" s="378"/>
      <c r="K59" s="532">
        <f t="shared" si="11"/>
        <v>0</v>
      </c>
      <c r="L59" s="663"/>
      <c r="M59" s="257"/>
      <c r="N59" s="665"/>
      <c r="O59" s="383"/>
      <c r="P59" s="384"/>
      <c r="Q59" s="385"/>
    </row>
    <row r="60" spans="1:17" s="159" customFormat="1" x14ac:dyDescent="0.2">
      <c r="A60" s="158" t="s">
        <v>407</v>
      </c>
      <c r="B60" s="159" t="s">
        <v>392</v>
      </c>
      <c r="C60" s="373"/>
      <c r="D60" s="374" t="s">
        <v>21</v>
      </c>
      <c r="E60" s="255">
        <v>0</v>
      </c>
      <c r="F60" s="375">
        <f t="shared" si="9"/>
        <v>0</v>
      </c>
      <c r="G60" s="531"/>
      <c r="H60" s="377">
        <v>0</v>
      </c>
      <c r="I60" s="375">
        <f t="shared" si="10"/>
        <v>0</v>
      </c>
      <c r="J60" s="378"/>
      <c r="K60" s="532">
        <f t="shared" si="11"/>
        <v>0</v>
      </c>
      <c r="L60" s="666"/>
      <c r="M60" s="257"/>
      <c r="N60" s="667"/>
      <c r="O60" s="383"/>
      <c r="P60" s="384"/>
      <c r="Q60" s="385"/>
    </row>
    <row r="61" spans="1:17" s="159" customFormat="1" x14ac:dyDescent="0.2">
      <c r="A61" s="158" t="s">
        <v>408</v>
      </c>
      <c r="B61" s="159" t="s">
        <v>393</v>
      </c>
      <c r="C61" s="373"/>
      <c r="D61" s="374" t="s">
        <v>21</v>
      </c>
      <c r="E61" s="255">
        <v>0</v>
      </c>
      <c r="F61" s="375">
        <f t="shared" si="9"/>
        <v>0</v>
      </c>
      <c r="G61" s="531"/>
      <c r="H61" s="377">
        <v>0</v>
      </c>
      <c r="I61" s="375">
        <f t="shared" si="10"/>
        <v>0</v>
      </c>
      <c r="J61" s="378"/>
      <c r="K61" s="532">
        <f t="shared" si="11"/>
        <v>0</v>
      </c>
      <c r="L61" s="380"/>
      <c r="M61" s="257"/>
      <c r="N61" s="423"/>
      <c r="O61" s="383"/>
      <c r="P61" s="384"/>
      <c r="Q61" s="385"/>
    </row>
    <row r="62" spans="1:17" s="159" customFormat="1" x14ac:dyDescent="0.2">
      <c r="A62" s="158" t="s">
        <v>409</v>
      </c>
      <c r="B62" s="159" t="s">
        <v>395</v>
      </c>
      <c r="C62" s="373"/>
      <c r="D62" s="374" t="s">
        <v>21</v>
      </c>
      <c r="E62" s="255">
        <v>0</v>
      </c>
      <c r="F62" s="375">
        <f t="shared" si="9"/>
        <v>0</v>
      </c>
      <c r="G62" s="531"/>
      <c r="H62" s="377">
        <v>0</v>
      </c>
      <c r="I62" s="375">
        <f t="shared" si="10"/>
        <v>0</v>
      </c>
      <c r="J62" s="378"/>
      <c r="K62" s="532">
        <f t="shared" si="11"/>
        <v>0</v>
      </c>
      <c r="M62" s="278"/>
      <c r="N62" s="157"/>
      <c r="O62" s="383"/>
      <c r="P62" s="384"/>
      <c r="Q62" s="385"/>
    </row>
    <row r="63" spans="1:17" s="159" customFormat="1" x14ac:dyDescent="0.2">
      <c r="C63" s="373"/>
      <c r="D63" s="374" t="s">
        <v>21</v>
      </c>
      <c r="E63" s="255">
        <v>0</v>
      </c>
      <c r="F63" s="375">
        <f>C63*E63</f>
        <v>0</v>
      </c>
      <c r="G63" s="531"/>
      <c r="H63" s="377">
        <v>0</v>
      </c>
      <c r="I63" s="375">
        <f>G63*H63</f>
        <v>0</v>
      </c>
      <c r="J63" s="378"/>
      <c r="K63" s="532">
        <f>F63+I63+J63</f>
        <v>0</v>
      </c>
      <c r="M63" s="278"/>
      <c r="N63" s="157"/>
      <c r="O63" s="383"/>
      <c r="P63" s="384"/>
      <c r="Q63" s="385"/>
    </row>
    <row r="64" spans="1:17" s="159" customFormat="1" x14ac:dyDescent="0.2">
      <c r="C64" s="373"/>
      <c r="D64" s="374" t="s">
        <v>21</v>
      </c>
      <c r="E64" s="255">
        <v>0</v>
      </c>
      <c r="F64" s="375">
        <f>C64*E64</f>
        <v>0</v>
      </c>
      <c r="G64" s="531"/>
      <c r="H64" s="377">
        <v>0</v>
      </c>
      <c r="I64" s="375">
        <f>G64*H64</f>
        <v>0</v>
      </c>
      <c r="J64" s="378"/>
      <c r="K64" s="532">
        <f>F64+I64+J64</f>
        <v>0</v>
      </c>
      <c r="M64" s="276"/>
      <c r="O64" s="383"/>
      <c r="P64" s="384"/>
      <c r="Q64" s="385"/>
    </row>
    <row r="65" spans="1:17" s="159" customFormat="1" x14ac:dyDescent="0.2">
      <c r="A65" s="372"/>
      <c r="B65" s="5"/>
      <c r="C65" s="373"/>
      <c r="D65" s="374" t="s">
        <v>21</v>
      </c>
      <c r="E65" s="255">
        <v>0</v>
      </c>
      <c r="F65" s="375">
        <f>C65*E65</f>
        <v>0</v>
      </c>
      <c r="G65" s="531"/>
      <c r="H65" s="377">
        <v>0</v>
      </c>
      <c r="I65" s="375">
        <f>G65*H65</f>
        <v>0</v>
      </c>
      <c r="J65" s="378"/>
      <c r="K65" s="532">
        <f>F65+I65+J65</f>
        <v>0</v>
      </c>
      <c r="M65" s="276"/>
      <c r="O65" s="383"/>
      <c r="P65" s="384"/>
      <c r="Q65" s="385"/>
    </row>
    <row r="66" spans="1:17" s="159" customFormat="1" ht="13.5" thickBot="1" x14ac:dyDescent="0.25">
      <c r="A66" s="389"/>
      <c r="B66" s="5"/>
      <c r="C66" s="390"/>
      <c r="D66" s="374"/>
      <c r="E66" s="255"/>
      <c r="F66" s="375"/>
      <c r="G66" s="531"/>
      <c r="H66" s="377"/>
      <c r="I66" s="375"/>
      <c r="J66" s="378"/>
      <c r="K66" s="537"/>
      <c r="L66" s="380"/>
      <c r="M66" s="381"/>
      <c r="N66" s="382"/>
      <c r="O66" s="383"/>
      <c r="P66" s="384"/>
      <c r="Q66" s="385"/>
    </row>
    <row r="67" spans="1:17" s="159" customFormat="1" ht="13.5" thickTop="1" x14ac:dyDescent="0.2">
      <c r="A67" s="389"/>
      <c r="B67" s="414"/>
      <c r="C67" s="390"/>
      <c r="D67" s="374"/>
      <c r="E67" s="255"/>
      <c r="F67" s="375"/>
      <c r="G67" s="531"/>
      <c r="H67" s="377"/>
      <c r="I67" s="375"/>
      <c r="J67" s="391" t="s">
        <v>30</v>
      </c>
      <c r="K67" s="534">
        <f>SUM(K49:K66)</f>
        <v>0</v>
      </c>
      <c r="L67" s="380"/>
      <c r="M67" s="381"/>
      <c r="N67" s="382"/>
      <c r="O67" s="383"/>
      <c r="P67" s="384"/>
      <c r="Q67" s="385"/>
    </row>
    <row r="68" spans="1:17" s="159" customFormat="1" ht="13.5" thickBot="1" x14ac:dyDescent="0.25">
      <c r="A68" s="355" t="s">
        <v>0</v>
      </c>
      <c r="B68" s="356" t="s">
        <v>1</v>
      </c>
      <c r="C68" s="948" t="s">
        <v>656</v>
      </c>
      <c r="D68" s="948"/>
      <c r="E68" s="948"/>
      <c r="F68" s="948"/>
      <c r="G68" s="948" t="s">
        <v>34</v>
      </c>
      <c r="H68" s="948"/>
      <c r="I68" s="948"/>
      <c r="J68" s="357"/>
      <c r="K68" s="525"/>
      <c r="L68" s="393"/>
      <c r="M68" s="357"/>
      <c r="N68" s="440"/>
      <c r="O68" s="383"/>
      <c r="P68" s="384"/>
      <c r="Q68" s="385"/>
    </row>
    <row r="69" spans="1:17" s="159" customFormat="1" ht="15.75" x14ac:dyDescent="0.25">
      <c r="A69" s="527" t="s">
        <v>410</v>
      </c>
      <c r="B69" s="527" t="s">
        <v>411</v>
      </c>
      <c r="C69" s="398" t="s">
        <v>19</v>
      </c>
      <c r="D69" s="399" t="s">
        <v>33</v>
      </c>
      <c r="E69" s="400" t="s">
        <v>35</v>
      </c>
      <c r="F69" s="401" t="s">
        <v>30</v>
      </c>
      <c r="G69" s="535" t="s">
        <v>14</v>
      </c>
      <c r="H69" s="400" t="s">
        <v>35</v>
      </c>
      <c r="I69" s="401" t="s">
        <v>30</v>
      </c>
      <c r="J69" s="366" t="s">
        <v>659</v>
      </c>
      <c r="K69" s="536" t="s">
        <v>38</v>
      </c>
      <c r="L69" s="404"/>
      <c r="M69" s="410"/>
      <c r="N69" s="411"/>
      <c r="O69" s="383"/>
      <c r="P69" s="384"/>
      <c r="Q69" s="385"/>
    </row>
    <row r="70" spans="1:17" s="159" customFormat="1" x14ac:dyDescent="0.2">
      <c r="A70" s="158" t="s">
        <v>412</v>
      </c>
      <c r="B70" s="159" t="s">
        <v>414</v>
      </c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M70" s="278"/>
      <c r="N70" s="157"/>
      <c r="O70" s="383"/>
      <c r="P70" s="384"/>
      <c r="Q70" s="385"/>
    </row>
    <row r="71" spans="1:17" s="159" customFormat="1" x14ac:dyDescent="0.2">
      <c r="A71" s="158" t="s">
        <v>413</v>
      </c>
      <c r="B71" s="159" t="s">
        <v>415</v>
      </c>
      <c r="C71" s="373"/>
      <c r="D71" s="374" t="s">
        <v>21</v>
      </c>
      <c r="E71" s="255">
        <v>0</v>
      </c>
      <c r="F71" s="375">
        <f>C71*E71</f>
        <v>0</v>
      </c>
      <c r="G71" s="531"/>
      <c r="H71" s="377">
        <v>0</v>
      </c>
      <c r="I71" s="375">
        <f>G71*H71</f>
        <v>0</v>
      </c>
      <c r="J71" s="378"/>
      <c r="K71" s="532">
        <f>F71+I71+J71</f>
        <v>0</v>
      </c>
      <c r="M71" s="278"/>
      <c r="N71" s="157"/>
      <c r="O71" s="383"/>
      <c r="P71" s="384"/>
      <c r="Q71" s="385"/>
    </row>
    <row r="72" spans="1:17" s="159" customFormat="1" x14ac:dyDescent="0.2">
      <c r="A72" s="372"/>
      <c r="B72" s="5"/>
      <c r="C72" s="373"/>
      <c r="D72" s="374" t="s">
        <v>21</v>
      </c>
      <c r="E72" s="255">
        <v>0</v>
      </c>
      <c r="F72" s="375">
        <f>C72*E72</f>
        <v>0</v>
      </c>
      <c r="G72" s="531"/>
      <c r="H72" s="377">
        <v>0</v>
      </c>
      <c r="I72" s="375">
        <f>G72*H72</f>
        <v>0</v>
      </c>
      <c r="J72" s="378"/>
      <c r="K72" s="532">
        <f>F72+I72+J72</f>
        <v>0</v>
      </c>
      <c r="M72" s="278"/>
      <c r="N72" s="157"/>
      <c r="O72" s="383"/>
      <c r="P72" s="384"/>
      <c r="Q72" s="385"/>
    </row>
    <row r="73" spans="1:17" s="159" customFormat="1" ht="13.5" thickBot="1" x14ac:dyDescent="0.25">
      <c r="A73" s="389"/>
      <c r="B73" s="5"/>
      <c r="C73" s="390"/>
      <c r="D73" s="374"/>
      <c r="E73" s="255"/>
      <c r="F73" s="375"/>
      <c r="G73" s="531"/>
      <c r="H73" s="377"/>
      <c r="I73" s="375"/>
      <c r="J73" s="378"/>
      <c r="K73" s="537"/>
      <c r="M73" s="276"/>
      <c r="O73" s="383"/>
      <c r="P73" s="384"/>
      <c r="Q73" s="385"/>
    </row>
    <row r="74" spans="1:17" s="159" customFormat="1" ht="13.5" thickTop="1" x14ac:dyDescent="0.2">
      <c r="A74" s="389"/>
      <c r="B74" s="157"/>
      <c r="C74" s="390"/>
      <c r="D74" s="374"/>
      <c r="E74" s="255"/>
      <c r="F74" s="375"/>
      <c r="G74" s="531"/>
      <c r="H74" s="377"/>
      <c r="I74" s="375"/>
      <c r="J74" s="391" t="s">
        <v>30</v>
      </c>
      <c r="K74" s="534">
        <f>SUM(K70:K73)</f>
        <v>0</v>
      </c>
      <c r="M74" s="276"/>
      <c r="O74" s="383"/>
      <c r="P74" s="384"/>
      <c r="Q74" s="385"/>
    </row>
    <row r="75" spans="1:17" s="159" customFormat="1" ht="13.5" thickBot="1" x14ac:dyDescent="0.25">
      <c r="A75" s="355" t="s">
        <v>0</v>
      </c>
      <c r="B75" s="356" t="s">
        <v>1</v>
      </c>
      <c r="C75" s="948" t="s">
        <v>656</v>
      </c>
      <c r="D75" s="948"/>
      <c r="E75" s="948"/>
      <c r="F75" s="948"/>
      <c r="G75" s="948" t="s">
        <v>34</v>
      </c>
      <c r="H75" s="948"/>
      <c r="I75" s="948"/>
      <c r="J75" s="357"/>
      <c r="K75" s="525"/>
      <c r="L75" s="393"/>
      <c r="M75" s="394"/>
      <c r="N75" s="395"/>
      <c r="O75" s="383"/>
      <c r="P75" s="384"/>
      <c r="Q75" s="385"/>
    </row>
    <row r="76" spans="1:17" s="159" customFormat="1" ht="16.5" thickBot="1" x14ac:dyDescent="0.3">
      <c r="A76" s="527" t="s">
        <v>416</v>
      </c>
      <c r="B76" s="527" t="s">
        <v>417</v>
      </c>
      <c r="C76" s="398" t="s">
        <v>19</v>
      </c>
      <c r="D76" s="399" t="s">
        <v>33</v>
      </c>
      <c r="E76" s="400" t="s">
        <v>35</v>
      </c>
      <c r="F76" s="401" t="s">
        <v>30</v>
      </c>
      <c r="G76" s="535" t="s">
        <v>14</v>
      </c>
      <c r="H76" s="400" t="s">
        <v>35</v>
      </c>
      <c r="I76" s="401" t="s">
        <v>30</v>
      </c>
      <c r="J76" s="366" t="s">
        <v>659</v>
      </c>
      <c r="K76" s="536" t="s">
        <v>38</v>
      </c>
      <c r="L76" s="404"/>
      <c r="M76" s="405"/>
      <c r="N76" s="406"/>
      <c r="O76" s="383"/>
      <c r="P76" s="384"/>
      <c r="Q76" s="385"/>
    </row>
    <row r="77" spans="1:17" s="159" customFormat="1" x14ac:dyDescent="0.2">
      <c r="A77" s="407"/>
      <c r="B77" s="408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x14ac:dyDescent="0.2">
      <c r="A78" s="372"/>
      <c r="B78" s="5"/>
      <c r="C78" s="373"/>
      <c r="D78" s="374" t="s">
        <v>21</v>
      </c>
      <c r="E78" s="255">
        <v>0</v>
      </c>
      <c r="F78" s="375">
        <f>C78*E78</f>
        <v>0</v>
      </c>
      <c r="G78" s="531"/>
      <c r="H78" s="377">
        <v>0</v>
      </c>
      <c r="I78" s="375">
        <f>G78*H78</f>
        <v>0</v>
      </c>
      <c r="J78" s="378"/>
      <c r="K78" s="532">
        <f>F78+I78+J78</f>
        <v>0</v>
      </c>
      <c r="L78" s="380"/>
      <c r="M78" s="381"/>
      <c r="N78" s="382"/>
      <c r="O78" s="383"/>
      <c r="P78" s="384"/>
      <c r="Q78" s="385"/>
    </row>
    <row r="79" spans="1:17" s="159" customFormat="1" x14ac:dyDescent="0.2">
      <c r="A79" s="372"/>
      <c r="C79" s="373"/>
      <c r="D79" s="374" t="s">
        <v>21</v>
      </c>
      <c r="E79" s="255">
        <v>0</v>
      </c>
      <c r="F79" s="375">
        <f>C79*E79</f>
        <v>0</v>
      </c>
      <c r="G79" s="531"/>
      <c r="H79" s="377">
        <v>0</v>
      </c>
      <c r="I79" s="375">
        <f>G79*H79</f>
        <v>0</v>
      </c>
      <c r="J79" s="378"/>
      <c r="K79" s="532">
        <f>F79+I79+J79</f>
        <v>0</v>
      </c>
      <c r="L79" s="380"/>
      <c r="M79" s="381"/>
      <c r="N79" s="382"/>
      <c r="O79" s="383"/>
      <c r="P79" s="384"/>
      <c r="Q79" s="385"/>
    </row>
    <row r="80" spans="1:17" s="159" customFormat="1" x14ac:dyDescent="0.2">
      <c r="A80" s="372"/>
      <c r="B80" s="5"/>
      <c r="C80" s="373"/>
      <c r="D80" s="374" t="s">
        <v>21</v>
      </c>
      <c r="E80" s="255">
        <v>0</v>
      </c>
      <c r="F80" s="375">
        <f>C80*E80</f>
        <v>0</v>
      </c>
      <c r="G80" s="531"/>
      <c r="H80" s="377">
        <v>0</v>
      </c>
      <c r="I80" s="375">
        <f>G80*H80</f>
        <v>0</v>
      </c>
      <c r="J80" s="378"/>
      <c r="K80" s="532">
        <f>F80+I80+J80</f>
        <v>0</v>
      </c>
      <c r="M80" s="276"/>
      <c r="O80" s="383"/>
      <c r="P80" s="384"/>
      <c r="Q80" s="385"/>
    </row>
    <row r="81" spans="1:17" s="159" customFormat="1" x14ac:dyDescent="0.2">
      <c r="A81" s="372"/>
      <c r="B81" s="5"/>
      <c r="C81" s="373"/>
      <c r="D81" s="374" t="s">
        <v>21</v>
      </c>
      <c r="E81" s="255">
        <v>0</v>
      </c>
      <c r="F81" s="375">
        <f>C81*E81</f>
        <v>0</v>
      </c>
      <c r="G81" s="531"/>
      <c r="H81" s="377">
        <v>0</v>
      </c>
      <c r="I81" s="375">
        <f>G81*H81</f>
        <v>0</v>
      </c>
      <c r="J81" s="378"/>
      <c r="K81" s="532">
        <f>F81+I81+J81</f>
        <v>0</v>
      </c>
      <c r="M81" s="276"/>
      <c r="O81" s="383"/>
      <c r="P81" s="384"/>
      <c r="Q81" s="385"/>
    </row>
    <row r="82" spans="1:17" s="159" customFormat="1" ht="13.5" thickBot="1" x14ac:dyDescent="0.25">
      <c r="A82" s="389"/>
      <c r="B82" s="5"/>
      <c r="C82" s="390"/>
      <c r="D82" s="374"/>
      <c r="E82" s="255"/>
      <c r="F82" s="375"/>
      <c r="G82" s="531"/>
      <c r="H82" s="377"/>
      <c r="I82" s="375"/>
      <c r="J82" s="378"/>
      <c r="K82" s="537"/>
      <c r="M82" s="278"/>
      <c r="N82" s="157"/>
      <c r="O82" s="383"/>
      <c r="P82" s="384"/>
      <c r="Q82" s="385"/>
    </row>
    <row r="83" spans="1:17" s="159" customFormat="1" ht="13.5" thickTop="1" x14ac:dyDescent="0.2">
      <c r="A83" s="389"/>
      <c r="B83" s="414"/>
      <c r="C83" s="390"/>
      <c r="D83" s="374"/>
      <c r="E83" s="255"/>
      <c r="F83" s="375"/>
      <c r="G83" s="531"/>
      <c r="H83" s="377"/>
      <c r="I83" s="375"/>
      <c r="J83" s="391" t="s">
        <v>30</v>
      </c>
      <c r="K83" s="534">
        <f>SUM(K77:K82)</f>
        <v>0</v>
      </c>
      <c r="M83" s="278"/>
      <c r="N83" s="157"/>
      <c r="O83" s="383"/>
      <c r="P83" s="384"/>
      <c r="Q83" s="385"/>
    </row>
    <row r="84" spans="1:17" s="159" customFormat="1" ht="13.5" thickBot="1" x14ac:dyDescent="0.25">
      <c r="A84" s="355" t="s">
        <v>0</v>
      </c>
      <c r="B84" s="356" t="s">
        <v>1</v>
      </c>
      <c r="C84" s="948" t="s">
        <v>656</v>
      </c>
      <c r="D84" s="948"/>
      <c r="E84" s="948"/>
      <c r="F84" s="948"/>
      <c r="G84" s="948" t="s">
        <v>34</v>
      </c>
      <c r="H84" s="948"/>
      <c r="I84" s="948"/>
      <c r="J84" s="357"/>
      <c r="K84" s="525"/>
      <c r="L84" s="393"/>
      <c r="M84" s="394"/>
      <c r="N84" s="395"/>
      <c r="O84" s="383"/>
      <c r="P84" s="384"/>
      <c r="Q84" s="385"/>
    </row>
    <row r="85" spans="1:17" s="159" customFormat="1" ht="16.5" thickBot="1" x14ac:dyDescent="0.3">
      <c r="A85" s="396"/>
      <c r="B85" s="397"/>
      <c r="C85" s="398" t="s">
        <v>19</v>
      </c>
      <c r="D85" s="399" t="s">
        <v>33</v>
      </c>
      <c r="E85" s="400" t="s">
        <v>35</v>
      </c>
      <c r="F85" s="401" t="s">
        <v>30</v>
      </c>
      <c r="G85" s="535" t="s">
        <v>14</v>
      </c>
      <c r="H85" s="400" t="s">
        <v>35</v>
      </c>
      <c r="I85" s="401" t="s">
        <v>30</v>
      </c>
      <c r="J85" s="366" t="s">
        <v>659</v>
      </c>
      <c r="K85" s="536" t="s">
        <v>38</v>
      </c>
      <c r="L85" s="404"/>
      <c r="M85" s="405"/>
      <c r="N85" s="406"/>
      <c r="O85" s="383"/>
      <c r="P85" s="384"/>
      <c r="Q85" s="385"/>
    </row>
    <row r="86" spans="1:17" s="159" customFormat="1" x14ac:dyDescent="0.2">
      <c r="A86" s="407"/>
      <c r="B86" s="408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L86" s="380"/>
      <c r="M86" s="381"/>
      <c r="N86" s="382"/>
      <c r="O86" s="383"/>
      <c r="P86" s="384"/>
      <c r="Q86" s="385"/>
    </row>
    <row r="87" spans="1:17" s="159" customFormat="1" x14ac:dyDescent="0.2">
      <c r="A87" s="372"/>
      <c r="B87" s="5"/>
      <c r="C87" s="373"/>
      <c r="D87" s="374" t="s">
        <v>21</v>
      </c>
      <c r="E87" s="255">
        <v>0</v>
      </c>
      <c r="F87" s="375">
        <f>C87*E87</f>
        <v>0</v>
      </c>
      <c r="G87" s="531"/>
      <c r="H87" s="377">
        <v>0</v>
      </c>
      <c r="I87" s="375">
        <f>G87*H87</f>
        <v>0</v>
      </c>
      <c r="J87" s="378"/>
      <c r="K87" s="532">
        <f>F87+I87+J87</f>
        <v>0</v>
      </c>
      <c r="L87" s="669"/>
      <c r="M87" s="670"/>
      <c r="N87" s="672"/>
      <c r="O87" s="383"/>
      <c r="P87" s="384"/>
      <c r="Q87" s="385"/>
    </row>
    <row r="88" spans="1:17" s="159" customFormat="1" x14ac:dyDescent="0.2">
      <c r="A88" s="372"/>
      <c r="B88" s="5"/>
      <c r="C88" s="373"/>
      <c r="D88" s="374" t="s">
        <v>21</v>
      </c>
      <c r="E88" s="255">
        <v>0</v>
      </c>
      <c r="F88" s="375">
        <f>C88*E88</f>
        <v>0</v>
      </c>
      <c r="G88" s="531"/>
      <c r="H88" s="377">
        <v>0</v>
      </c>
      <c r="I88" s="375">
        <f>G88*H88</f>
        <v>0</v>
      </c>
      <c r="J88" s="378"/>
      <c r="K88" s="532">
        <f>F88+I88+J88</f>
        <v>0</v>
      </c>
      <c r="L88" s="669"/>
      <c r="M88" s="670"/>
      <c r="N88" s="672"/>
      <c r="O88" s="383"/>
      <c r="P88" s="384"/>
      <c r="Q88" s="385"/>
    </row>
    <row r="89" spans="1:17" s="159" customFormat="1" x14ac:dyDescent="0.2">
      <c r="A89" s="372"/>
      <c r="B89" s="5"/>
      <c r="C89" s="373"/>
      <c r="D89" s="374" t="s">
        <v>21</v>
      </c>
      <c r="E89" s="255">
        <v>0</v>
      </c>
      <c r="F89" s="375">
        <f>C89*E89</f>
        <v>0</v>
      </c>
      <c r="G89" s="531"/>
      <c r="H89" s="377">
        <v>0</v>
      </c>
      <c r="I89" s="375">
        <f>G89*H89</f>
        <v>0</v>
      </c>
      <c r="J89" s="378"/>
      <c r="K89" s="532">
        <f>F89+I89+J89</f>
        <v>0</v>
      </c>
      <c r="L89" s="669"/>
      <c r="M89" s="670"/>
      <c r="N89" s="672"/>
      <c r="O89" s="383"/>
      <c r="P89" s="384"/>
      <c r="Q89" s="385"/>
    </row>
    <row r="90" spans="1:17" s="159" customFormat="1" ht="13.5" thickBot="1" x14ac:dyDescent="0.25">
      <c r="A90" s="389"/>
      <c r="B90" s="414"/>
      <c r="C90" s="373"/>
      <c r="D90" s="374"/>
      <c r="E90" s="255"/>
      <c r="F90" s="375"/>
      <c r="G90" s="531"/>
      <c r="H90" s="377"/>
      <c r="I90" s="375"/>
      <c r="J90" s="378"/>
      <c r="K90" s="532"/>
      <c r="L90" s="669"/>
      <c r="M90" s="670"/>
      <c r="N90" s="672"/>
      <c r="O90" s="383"/>
      <c r="P90" s="384"/>
      <c r="Q90" s="385"/>
    </row>
    <row r="91" spans="1:17" s="159" customFormat="1" ht="14.25" thickTop="1" thickBot="1" x14ac:dyDescent="0.25">
      <c r="A91" s="472"/>
      <c r="B91" s="156"/>
      <c r="C91" s="473"/>
      <c r="D91" s="474"/>
      <c r="E91" s="475"/>
      <c r="F91" s="476"/>
      <c r="G91" s="636"/>
      <c r="H91" s="475"/>
      <c r="I91" s="476"/>
      <c r="J91" s="478" t="s">
        <v>30</v>
      </c>
      <c r="K91" s="637">
        <f>SUM(K86:K90)</f>
        <v>0</v>
      </c>
      <c r="M91" s="276"/>
    </row>
    <row r="92" spans="1:17" s="159" customFormat="1" ht="14.1" customHeight="1" thickBot="1" x14ac:dyDescent="0.3">
      <c r="A92" s="480"/>
      <c r="B92" s="481"/>
      <c r="C92" s="482"/>
      <c r="D92" s="482"/>
      <c r="E92" s="483"/>
      <c r="F92" s="978" t="s">
        <v>658</v>
      </c>
      <c r="G92" s="1001" t="s">
        <v>682</v>
      </c>
      <c r="H92" s="483"/>
      <c r="I92" s="971" t="s">
        <v>657</v>
      </c>
      <c r="J92" s="967" t="s">
        <v>683</v>
      </c>
      <c r="K92" s="965" t="s">
        <v>31</v>
      </c>
      <c r="L92" s="673"/>
      <c r="M92" s="674"/>
      <c r="N92" s="675"/>
      <c r="O92" s="462"/>
      <c r="P92" s="463"/>
      <c r="Q92" s="464"/>
    </row>
    <row r="93" spans="1:17" s="159" customFormat="1" ht="15.75" thickTop="1" x14ac:dyDescent="0.2">
      <c r="A93" s="484" t="s">
        <v>32</v>
      </c>
      <c r="B93" s="973" t="s">
        <v>667</v>
      </c>
      <c r="C93" s="485"/>
      <c r="D93" s="486"/>
      <c r="E93" s="486"/>
      <c r="F93" s="979"/>
      <c r="G93" s="1002"/>
      <c r="H93" s="487"/>
      <c r="I93" s="972"/>
      <c r="J93" s="968"/>
      <c r="K93" s="966"/>
      <c r="M93" s="276"/>
    </row>
    <row r="94" spans="1:17" s="159" customFormat="1" ht="15" x14ac:dyDescent="0.25">
      <c r="A94" s="828">
        <f>K94/E6</f>
        <v>74.298797939324558</v>
      </c>
      <c r="B94" s="973"/>
      <c r="C94" s="486"/>
      <c r="D94" s="486"/>
      <c r="E94" s="486"/>
      <c r="F94" s="961">
        <f>SUM(F77:F82,F70:F73,F49:F66,F38:F45,F27:F34,F11:F23)</f>
        <v>0</v>
      </c>
      <c r="G94" s="1006">
        <f>SUM(G77:G82,G70:G73,G49:G66,G38:G45,G27:G34,G11:G23)</f>
        <v>0</v>
      </c>
      <c r="H94" s="487"/>
      <c r="I94" s="961">
        <f>SUM(I77:I82,I70:I73,I49:I66,I38:I45,I27:I34,I11:I23)</f>
        <v>0</v>
      </c>
      <c r="J94" s="961">
        <f>SUM(J77:J82,J70:J73,J49:J66,J38:J45,J27:J34,J11:J23)</f>
        <v>129800</v>
      </c>
      <c r="K94" s="963">
        <f>K91+K83+K74+K67+K46+K35+K24</f>
        <v>129800</v>
      </c>
      <c r="M94" s="276"/>
    </row>
    <row r="95" spans="1:17" s="159" customFormat="1" ht="15" thickBot="1" x14ac:dyDescent="0.25">
      <c r="A95" s="484"/>
      <c r="B95" s="552"/>
      <c r="C95" s="490"/>
      <c r="D95" s="490"/>
      <c r="E95" s="490"/>
      <c r="F95" s="962"/>
      <c r="G95" s="1007"/>
      <c r="H95" s="490"/>
      <c r="I95" s="962"/>
      <c r="J95" s="962"/>
      <c r="K95" s="964"/>
      <c r="M95" s="276"/>
    </row>
    <row r="96" spans="1:17" s="159" customFormat="1" ht="13.5" thickBot="1" x14ac:dyDescent="0.25">
      <c r="A96" s="491"/>
      <c r="B96" s="492"/>
      <c r="C96" s="492"/>
      <c r="D96" s="492"/>
      <c r="E96" s="492"/>
      <c r="F96" s="492"/>
      <c r="G96" s="492"/>
      <c r="H96" s="492"/>
      <c r="I96" s="492"/>
      <c r="J96" s="492"/>
      <c r="K96" s="493"/>
      <c r="M96" s="276"/>
    </row>
    <row r="97" spans="3:16" s="159" customFormat="1" x14ac:dyDescent="0.2">
      <c r="C97" s="657"/>
      <c r="D97" s="657"/>
      <c r="J97" s="276"/>
      <c r="M97" s="276"/>
    </row>
    <row r="98" spans="3:16" s="159" customFormat="1" x14ac:dyDescent="0.2">
      <c r="C98" s="657"/>
      <c r="D98" s="657"/>
      <c r="J98" s="276"/>
      <c r="M98" s="278"/>
      <c r="N98" s="157"/>
      <c r="O98" s="304"/>
      <c r="P98" s="304"/>
    </row>
    <row r="99" spans="3:16" s="159" customFormat="1" x14ac:dyDescent="0.2">
      <c r="C99" s="657"/>
      <c r="D99" s="657"/>
      <c r="J99" s="276"/>
      <c r="M99" s="278"/>
      <c r="N99" s="157"/>
      <c r="O99" s="304"/>
      <c r="P99" s="304"/>
    </row>
    <row r="100" spans="3:16" s="159" customFormat="1" x14ac:dyDescent="0.2">
      <c r="C100" s="657"/>
      <c r="D100" s="657"/>
      <c r="J100" s="276"/>
      <c r="M100" s="278"/>
      <c r="N100" s="157"/>
      <c r="O100" s="304"/>
      <c r="P100" s="304"/>
    </row>
    <row r="101" spans="3:16" s="159" customFormat="1" x14ac:dyDescent="0.2">
      <c r="C101" s="657"/>
      <c r="D101" s="657"/>
      <c r="J101" s="276"/>
      <c r="M101" s="278"/>
      <c r="N101" s="157"/>
      <c r="O101" s="304"/>
      <c r="P101" s="304"/>
    </row>
    <row r="102" spans="3:16" s="159" customFormat="1" x14ac:dyDescent="0.2">
      <c r="C102" s="657"/>
      <c r="D102" s="657"/>
      <c r="J102" s="276"/>
      <c r="M102" s="278"/>
      <c r="N102" s="157"/>
      <c r="O102" s="304"/>
      <c r="P102" s="304"/>
    </row>
    <row r="103" spans="3:16" s="159" customFormat="1" x14ac:dyDescent="0.2">
      <c r="C103" s="657"/>
      <c r="D103" s="657"/>
      <c r="J103" s="276"/>
      <c r="M103" s="278"/>
      <c r="N103" s="157"/>
      <c r="O103" s="304"/>
      <c r="P103" s="304"/>
    </row>
    <row r="104" spans="3:16" s="159" customFormat="1" x14ac:dyDescent="0.2">
      <c r="C104" s="657"/>
      <c r="D104" s="657"/>
      <c r="J104" s="276"/>
      <c r="M104" s="278"/>
      <c r="N104" s="157"/>
      <c r="O104" s="304"/>
      <c r="P104" s="304"/>
    </row>
    <row r="105" spans="3:16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3:16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3:16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3:16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3:16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3:16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3:16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3:16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1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1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1:16" x14ac:dyDescent="0.2">
      <c r="A227" s="159"/>
      <c r="B227" s="159"/>
      <c r="C227" s="657"/>
      <c r="D227" s="657"/>
      <c r="E227" s="159"/>
      <c r="F227" s="159"/>
      <c r="G227" s="159"/>
      <c r="H227" s="159"/>
      <c r="I227" s="159"/>
      <c r="J227" s="276"/>
      <c r="K227" s="159"/>
    </row>
    <row r="228" spans="1:16" x14ac:dyDescent="0.2">
      <c r="A228" s="159"/>
      <c r="B228" s="159"/>
      <c r="C228" s="657"/>
      <c r="D228" s="657"/>
      <c r="E228" s="159"/>
      <c r="F228" s="159"/>
      <c r="G228" s="159"/>
      <c r="H228" s="159"/>
      <c r="I228" s="159"/>
      <c r="J228" s="276"/>
      <c r="K228" s="159"/>
    </row>
    <row r="229" spans="1:16" x14ac:dyDescent="0.2">
      <c r="A229" s="159"/>
      <c r="B229" s="159"/>
      <c r="C229" s="657"/>
      <c r="D229" s="657"/>
      <c r="E229" s="159"/>
      <c r="F229" s="159"/>
      <c r="G229" s="159"/>
      <c r="H229" s="159"/>
      <c r="I229" s="159"/>
      <c r="J229" s="276"/>
      <c r="K229" s="159"/>
    </row>
    <row r="230" spans="1:16" x14ac:dyDescent="0.2">
      <c r="A230" s="159"/>
      <c r="B230" s="159"/>
      <c r="C230" s="657"/>
      <c r="D230" s="657"/>
      <c r="E230" s="159"/>
      <c r="F230" s="159"/>
      <c r="G230" s="159"/>
      <c r="H230" s="159"/>
      <c r="I230" s="159"/>
      <c r="J230" s="276"/>
      <c r="K230" s="159"/>
    </row>
    <row r="231" spans="1:16" x14ac:dyDescent="0.2">
      <c r="A231" s="159"/>
      <c r="B231" s="159"/>
      <c r="C231" s="657"/>
      <c r="D231" s="657"/>
      <c r="E231" s="159"/>
      <c r="F231" s="159"/>
      <c r="G231" s="159"/>
      <c r="H231" s="159"/>
      <c r="I231" s="159"/>
      <c r="J231" s="276"/>
      <c r="K231" s="159"/>
    </row>
    <row r="232" spans="1:16" x14ac:dyDescent="0.2">
      <c r="A232" s="159"/>
      <c r="B232" s="159"/>
      <c r="C232" s="657"/>
      <c r="D232" s="657"/>
      <c r="E232" s="159"/>
      <c r="F232" s="159"/>
      <c r="G232" s="159"/>
      <c r="H232" s="159"/>
      <c r="I232" s="159"/>
      <c r="J232" s="276"/>
      <c r="K232" s="159"/>
    </row>
    <row r="233" spans="1:16" x14ac:dyDescent="0.2">
      <c r="A233" s="159"/>
      <c r="B233" s="159"/>
      <c r="C233" s="657"/>
      <c r="D233" s="657"/>
      <c r="E233" s="159"/>
      <c r="F233" s="159"/>
      <c r="G233" s="159"/>
      <c r="H233" s="159"/>
      <c r="I233" s="159"/>
      <c r="J233" s="276"/>
      <c r="K233" s="159"/>
    </row>
    <row r="234" spans="1:16" x14ac:dyDescent="0.2">
      <c r="A234" s="159"/>
      <c r="B234" s="159"/>
      <c r="C234" s="657"/>
      <c r="D234" s="657"/>
      <c r="E234" s="159"/>
      <c r="F234" s="159"/>
      <c r="G234" s="159"/>
      <c r="H234" s="159"/>
      <c r="I234" s="159"/>
      <c r="J234" s="276"/>
      <c r="K234" s="159"/>
    </row>
    <row r="235" spans="1:16" x14ac:dyDescent="0.2">
      <c r="A235" s="159"/>
      <c r="B235" s="159"/>
      <c r="C235" s="657"/>
      <c r="D235" s="657"/>
      <c r="E235" s="159"/>
      <c r="F235" s="159"/>
      <c r="G235" s="159"/>
      <c r="H235" s="159"/>
      <c r="I235" s="159"/>
      <c r="J235" s="276"/>
      <c r="K235" s="159"/>
    </row>
    <row r="236" spans="1:16" x14ac:dyDescent="0.2">
      <c r="A236" s="159"/>
      <c r="B236" s="159"/>
      <c r="C236" s="657"/>
      <c r="D236" s="657"/>
      <c r="E236" s="159"/>
      <c r="F236" s="159"/>
      <c r="G236" s="159"/>
      <c r="H236" s="159"/>
      <c r="I236" s="159"/>
      <c r="J236" s="276"/>
      <c r="K236" s="159"/>
    </row>
    <row r="237" spans="1:16" x14ac:dyDescent="0.2">
      <c r="A237" s="159"/>
      <c r="B237" s="159"/>
      <c r="C237" s="657"/>
      <c r="D237" s="657"/>
      <c r="E237" s="159"/>
      <c r="F237" s="159"/>
      <c r="G237" s="159"/>
      <c r="H237" s="159"/>
      <c r="I237" s="159"/>
      <c r="J237" s="276"/>
      <c r="K237" s="159"/>
    </row>
    <row r="238" spans="1:16" x14ac:dyDescent="0.2">
      <c r="A238" s="159"/>
      <c r="B238" s="159"/>
      <c r="C238" s="657"/>
      <c r="D238" s="657"/>
      <c r="E238" s="159"/>
      <c r="F238" s="159"/>
      <c r="G238" s="159"/>
      <c r="H238" s="159"/>
      <c r="I238" s="159"/>
      <c r="J238" s="276"/>
      <c r="K238" s="159"/>
    </row>
    <row r="239" spans="1:16" x14ac:dyDescent="0.2">
      <c r="A239" s="159"/>
      <c r="B239" s="159"/>
      <c r="C239" s="657"/>
      <c r="D239" s="657"/>
      <c r="E239" s="159"/>
      <c r="F239" s="159"/>
      <c r="G239" s="159"/>
      <c r="H239" s="159"/>
      <c r="I239" s="159"/>
      <c r="J239" s="276"/>
      <c r="K239" s="159"/>
    </row>
    <row r="240" spans="1:16" x14ac:dyDescent="0.2">
      <c r="A240" s="159"/>
      <c r="B240" s="159"/>
      <c r="C240" s="657"/>
      <c r="D240" s="657"/>
      <c r="E240" s="159"/>
      <c r="F240" s="159"/>
      <c r="G240" s="159"/>
      <c r="H240" s="159"/>
      <c r="I240" s="159"/>
      <c r="J240" s="276"/>
      <c r="K240" s="159"/>
    </row>
    <row r="241" spans="1:11" x14ac:dyDescent="0.2">
      <c r="A241" s="159"/>
      <c r="B241" s="159"/>
      <c r="C241" s="657"/>
      <c r="D241" s="657"/>
      <c r="E241" s="159"/>
      <c r="F241" s="159"/>
      <c r="G241" s="159"/>
      <c r="H241" s="159"/>
      <c r="I241" s="159"/>
      <c r="J241" s="276"/>
      <c r="K241" s="159"/>
    </row>
    <row r="242" spans="1:11" x14ac:dyDescent="0.2">
      <c r="A242" s="159"/>
      <c r="B242" s="159"/>
      <c r="C242" s="657"/>
      <c r="D242" s="657"/>
      <c r="E242" s="159"/>
      <c r="F242" s="159"/>
      <c r="G242" s="159"/>
      <c r="H242" s="159"/>
      <c r="I242" s="159"/>
      <c r="J242" s="276"/>
      <c r="K242" s="159"/>
    </row>
    <row r="243" spans="1:11" x14ac:dyDescent="0.2">
      <c r="A243" s="159"/>
      <c r="B243" s="159"/>
      <c r="C243" s="657"/>
      <c r="D243" s="657"/>
      <c r="E243" s="159"/>
      <c r="F243" s="159"/>
      <c r="G243" s="159"/>
      <c r="H243" s="159"/>
      <c r="I243" s="159"/>
      <c r="J243" s="276"/>
      <c r="K243" s="159"/>
    </row>
    <row r="244" spans="1:11" x14ac:dyDescent="0.2">
      <c r="A244" s="159"/>
      <c r="B244" s="159"/>
      <c r="C244" s="657"/>
      <c r="D244" s="657"/>
      <c r="E244" s="159"/>
      <c r="F244" s="159"/>
      <c r="G244" s="159"/>
      <c r="H244" s="159"/>
      <c r="I244" s="159"/>
      <c r="J244" s="276"/>
      <c r="K244" s="159"/>
    </row>
    <row r="245" spans="1:11" x14ac:dyDescent="0.2">
      <c r="A245" s="159"/>
      <c r="B245" s="159"/>
      <c r="C245" s="657"/>
      <c r="D245" s="657"/>
      <c r="E245" s="159"/>
      <c r="F245" s="159"/>
      <c r="G245" s="159"/>
      <c r="H245" s="159"/>
      <c r="I245" s="159"/>
      <c r="J245" s="276"/>
      <c r="K245" s="159"/>
    </row>
    <row r="246" spans="1:11" x14ac:dyDescent="0.2">
      <c r="A246" s="159"/>
      <c r="B246" s="159"/>
      <c r="C246" s="657"/>
      <c r="D246" s="657"/>
      <c r="E246" s="159"/>
      <c r="F246" s="159"/>
      <c r="G246" s="159"/>
      <c r="H246" s="159"/>
      <c r="I246" s="159"/>
      <c r="J246" s="276"/>
      <c r="K246" s="159"/>
    </row>
    <row r="247" spans="1:11" x14ac:dyDescent="0.2">
      <c r="A247" s="159"/>
      <c r="B247" s="159"/>
      <c r="C247" s="657"/>
      <c r="D247" s="657"/>
      <c r="E247" s="159"/>
      <c r="F247" s="159"/>
      <c r="G247" s="159"/>
      <c r="H247" s="159"/>
      <c r="I247" s="159"/>
      <c r="J247" s="276"/>
      <c r="K247" s="159"/>
    </row>
    <row r="248" spans="1:11" x14ac:dyDescent="0.2">
      <c r="A248" s="159"/>
      <c r="B248" s="159"/>
      <c r="C248" s="657"/>
      <c r="D248" s="657"/>
      <c r="E248" s="159"/>
      <c r="F248" s="159"/>
      <c r="G248" s="159"/>
      <c r="H248" s="159"/>
      <c r="I248" s="159"/>
      <c r="J248" s="276"/>
      <c r="K248" s="159"/>
    </row>
    <row r="249" spans="1:11" x14ac:dyDescent="0.2">
      <c r="A249" s="159"/>
      <c r="B249" s="159"/>
      <c r="C249" s="657"/>
      <c r="D249" s="657"/>
      <c r="E249" s="159"/>
      <c r="F249" s="159"/>
      <c r="G249" s="159"/>
      <c r="H249" s="159"/>
      <c r="I249" s="159"/>
      <c r="J249" s="276"/>
      <c r="K249" s="159"/>
    </row>
    <row r="250" spans="1:11" x14ac:dyDescent="0.2">
      <c r="A250" s="159"/>
      <c r="B250" s="159"/>
      <c r="C250" s="657"/>
      <c r="D250" s="657"/>
      <c r="E250" s="159"/>
      <c r="F250" s="159"/>
      <c r="G250" s="159"/>
      <c r="H250" s="159"/>
      <c r="I250" s="159"/>
      <c r="J250" s="276"/>
      <c r="K250" s="159"/>
    </row>
    <row r="251" spans="1:11" x14ac:dyDescent="0.2">
      <c r="A251" s="159"/>
      <c r="B251" s="159"/>
      <c r="C251" s="657"/>
      <c r="D251" s="657"/>
      <c r="E251" s="159"/>
      <c r="F251" s="159"/>
      <c r="G251" s="159"/>
      <c r="H251" s="159"/>
      <c r="I251" s="159"/>
      <c r="J251" s="276"/>
      <c r="K251" s="159"/>
    </row>
    <row r="252" spans="1:11" x14ac:dyDescent="0.2">
      <c r="A252" s="159"/>
      <c r="B252" s="159"/>
      <c r="C252" s="657"/>
      <c r="D252" s="657"/>
      <c r="E252" s="159"/>
      <c r="F252" s="159"/>
      <c r="G252" s="159"/>
      <c r="H252" s="159"/>
      <c r="I252" s="159"/>
      <c r="J252" s="276"/>
      <c r="K252" s="159"/>
    </row>
    <row r="253" spans="1:11" x14ac:dyDescent="0.2">
      <c r="A253" s="159"/>
      <c r="B253" s="159"/>
      <c r="C253" s="657"/>
      <c r="D253" s="657"/>
      <c r="E253" s="159"/>
      <c r="F253" s="159"/>
      <c r="G253" s="159"/>
      <c r="H253" s="159"/>
      <c r="I253" s="159"/>
      <c r="J253" s="276"/>
      <c r="K253" s="159"/>
    </row>
    <row r="254" spans="1:11" x14ac:dyDescent="0.2">
      <c r="A254" s="159"/>
      <c r="B254" s="159"/>
      <c r="C254" s="657"/>
      <c r="D254" s="657"/>
      <c r="E254" s="159"/>
      <c r="F254" s="159"/>
      <c r="G254" s="159"/>
      <c r="H254" s="159"/>
      <c r="I254" s="159"/>
      <c r="J254" s="276"/>
      <c r="K254" s="159"/>
    </row>
    <row r="255" spans="1:11" x14ac:dyDescent="0.2">
      <c r="A255" s="159"/>
      <c r="B255" s="159"/>
      <c r="C255" s="657"/>
      <c r="D255" s="657"/>
      <c r="E255" s="159"/>
      <c r="F255" s="159"/>
      <c r="G255" s="159"/>
      <c r="H255" s="159"/>
      <c r="I255" s="159"/>
      <c r="J255" s="276"/>
      <c r="K255" s="159"/>
    </row>
    <row r="256" spans="1:11" x14ac:dyDescent="0.2">
      <c r="A256" s="159"/>
      <c r="B256" s="159"/>
      <c r="C256" s="657"/>
      <c r="D256" s="657"/>
      <c r="E256" s="159"/>
      <c r="F256" s="159"/>
      <c r="G256" s="159"/>
      <c r="H256" s="159"/>
      <c r="I256" s="159"/>
      <c r="J256" s="276"/>
      <c r="K256" s="159"/>
    </row>
    <row r="257" spans="1:11" x14ac:dyDescent="0.2">
      <c r="A257" s="159"/>
      <c r="B257" s="159"/>
      <c r="C257" s="657"/>
      <c r="D257" s="657"/>
      <c r="E257" s="159"/>
      <c r="F257" s="159"/>
      <c r="G257" s="159"/>
      <c r="H257" s="159"/>
      <c r="I257" s="159"/>
      <c r="J257" s="276"/>
      <c r="K257" s="159"/>
    </row>
    <row r="258" spans="1:11" x14ac:dyDescent="0.2">
      <c r="A258" s="159"/>
      <c r="B258" s="159"/>
      <c r="C258" s="657"/>
      <c r="D258" s="657"/>
      <c r="E258" s="159"/>
      <c r="F258" s="159"/>
      <c r="G258" s="159"/>
      <c r="H258" s="159"/>
      <c r="I258" s="159"/>
      <c r="J258" s="276"/>
      <c r="K258" s="159"/>
    </row>
    <row r="259" spans="1:11" x14ac:dyDescent="0.2">
      <c r="A259" s="159"/>
      <c r="B259" s="159"/>
      <c r="C259" s="657"/>
      <c r="D259" s="657"/>
      <c r="E259" s="159"/>
      <c r="F259" s="159"/>
      <c r="G259" s="159"/>
      <c r="H259" s="159"/>
      <c r="I259" s="159"/>
      <c r="J259" s="276"/>
      <c r="K259" s="159"/>
    </row>
    <row r="260" spans="1:11" x14ac:dyDescent="0.2">
      <c r="A260" s="159"/>
      <c r="B260" s="159"/>
      <c r="C260" s="657"/>
      <c r="D260" s="657"/>
      <c r="E260" s="159"/>
      <c r="F260" s="159"/>
      <c r="G260" s="159"/>
      <c r="H260" s="159"/>
      <c r="I260" s="159"/>
      <c r="J260" s="276"/>
      <c r="K260" s="159"/>
    </row>
    <row r="261" spans="1:11" x14ac:dyDescent="0.2">
      <c r="A261" s="159"/>
      <c r="B261" s="159"/>
      <c r="C261" s="657"/>
      <c r="D261" s="657"/>
      <c r="E261" s="159"/>
      <c r="F261" s="159"/>
      <c r="G261" s="159"/>
      <c r="H261" s="159"/>
      <c r="I261" s="159"/>
      <c r="J261" s="276"/>
      <c r="K261" s="159"/>
    </row>
    <row r="262" spans="1:11" x14ac:dyDescent="0.2">
      <c r="A262" s="159"/>
      <c r="B262" s="159"/>
      <c r="C262" s="657"/>
      <c r="D262" s="657"/>
      <c r="E262" s="159"/>
      <c r="F262" s="159"/>
      <c r="G262" s="159"/>
      <c r="H262" s="159"/>
      <c r="I262" s="159"/>
      <c r="J262" s="276"/>
      <c r="K262" s="159"/>
    </row>
    <row r="263" spans="1:11" x14ac:dyDescent="0.2">
      <c r="A263" s="159"/>
      <c r="B263" s="159"/>
      <c r="C263" s="657"/>
      <c r="D263" s="657"/>
      <c r="E263" s="159"/>
      <c r="F263" s="159"/>
      <c r="G263" s="159"/>
      <c r="H263" s="159"/>
      <c r="I263" s="159"/>
      <c r="J263" s="276"/>
      <c r="K263" s="159"/>
    </row>
    <row r="264" spans="1:11" x14ac:dyDescent="0.2">
      <c r="A264" s="159"/>
      <c r="B264" s="159"/>
      <c r="C264" s="657"/>
      <c r="D264" s="657"/>
      <c r="E264" s="159"/>
      <c r="F264" s="159"/>
      <c r="G264" s="159"/>
      <c r="H264" s="159"/>
      <c r="I264" s="159"/>
      <c r="J264" s="276"/>
      <c r="K264" s="159"/>
    </row>
    <row r="265" spans="1:11" x14ac:dyDescent="0.2">
      <c r="A265" s="159"/>
      <c r="B265" s="159"/>
      <c r="C265" s="657"/>
      <c r="D265" s="657"/>
      <c r="E265" s="159"/>
      <c r="F265" s="159"/>
      <c r="G265" s="159"/>
      <c r="H265" s="159"/>
      <c r="I265" s="159"/>
      <c r="J265" s="276"/>
      <c r="K265" s="159"/>
    </row>
    <row r="266" spans="1:11" x14ac:dyDescent="0.2">
      <c r="A266" s="159"/>
      <c r="B266" s="159"/>
      <c r="C266" s="657"/>
      <c r="D266" s="657"/>
      <c r="E266" s="159"/>
      <c r="F266" s="159"/>
      <c r="G266" s="159"/>
      <c r="H266" s="159"/>
      <c r="I266" s="159"/>
      <c r="J266" s="276"/>
      <c r="K266" s="159"/>
    </row>
    <row r="267" spans="1:11" x14ac:dyDescent="0.2">
      <c r="A267" s="159"/>
      <c r="B267" s="159"/>
      <c r="C267" s="657"/>
      <c r="D267" s="657"/>
      <c r="E267" s="159"/>
      <c r="F267" s="159"/>
      <c r="G267" s="159"/>
      <c r="H267" s="159"/>
      <c r="I267" s="159"/>
      <c r="J267" s="276"/>
      <c r="K267" s="159"/>
    </row>
    <row r="268" spans="1:11" x14ac:dyDescent="0.2">
      <c r="A268" s="159"/>
      <c r="B268" s="159"/>
      <c r="C268" s="657"/>
      <c r="D268" s="657"/>
      <c r="E268" s="159"/>
      <c r="F268" s="159"/>
      <c r="G268" s="159"/>
      <c r="H268" s="159"/>
      <c r="I268" s="159"/>
      <c r="J268" s="276"/>
      <c r="K268" s="159"/>
    </row>
    <row r="269" spans="1:11" x14ac:dyDescent="0.2">
      <c r="A269" s="159"/>
      <c r="B269" s="159"/>
      <c r="C269" s="657"/>
      <c r="D269" s="657"/>
      <c r="E269" s="159"/>
      <c r="F269" s="159"/>
      <c r="G269" s="159"/>
      <c r="H269" s="159"/>
      <c r="I269" s="159"/>
      <c r="J269" s="276"/>
      <c r="K269" s="159"/>
    </row>
    <row r="270" spans="1:11" x14ac:dyDescent="0.2">
      <c r="A270" s="159"/>
      <c r="B270" s="159"/>
      <c r="C270" s="657"/>
      <c r="D270" s="657"/>
      <c r="E270" s="159"/>
      <c r="F270" s="159"/>
      <c r="G270" s="159"/>
      <c r="H270" s="159"/>
      <c r="I270" s="159"/>
      <c r="J270" s="276"/>
      <c r="K270" s="159"/>
    </row>
    <row r="271" spans="1:11" x14ac:dyDescent="0.2">
      <c r="A271" s="159"/>
      <c r="B271" s="159"/>
      <c r="C271" s="657"/>
      <c r="D271" s="657"/>
      <c r="E271" s="159"/>
      <c r="F271" s="159"/>
      <c r="G271" s="159"/>
      <c r="H271" s="159"/>
      <c r="I271" s="159"/>
      <c r="J271" s="276"/>
      <c r="K271" s="159"/>
    </row>
    <row r="272" spans="1:11" x14ac:dyDescent="0.2">
      <c r="A272" s="159"/>
      <c r="B272" s="159"/>
      <c r="C272" s="657"/>
      <c r="D272" s="657"/>
      <c r="E272" s="159"/>
      <c r="F272" s="159"/>
      <c r="G272" s="159"/>
      <c r="H272" s="159"/>
      <c r="I272" s="159"/>
      <c r="J272" s="276"/>
      <c r="K272" s="159"/>
    </row>
    <row r="273" spans="1:11" x14ac:dyDescent="0.2">
      <c r="A273" s="159"/>
      <c r="B273" s="159"/>
      <c r="C273" s="657"/>
      <c r="D273" s="657"/>
      <c r="E273" s="159"/>
      <c r="F273" s="159"/>
      <c r="G273" s="159"/>
      <c r="H273" s="159"/>
      <c r="I273" s="159"/>
      <c r="J273" s="276"/>
      <c r="K273" s="159"/>
    </row>
    <row r="274" spans="1:11" x14ac:dyDescent="0.2">
      <c r="A274" s="159"/>
      <c r="B274" s="159"/>
      <c r="C274" s="657"/>
      <c r="D274" s="657"/>
      <c r="E274" s="159"/>
      <c r="F274" s="159"/>
      <c r="G274" s="159"/>
      <c r="H274" s="159"/>
      <c r="I274" s="159"/>
      <c r="J274" s="276"/>
      <c r="K274" s="159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4" fitToHeight="2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282"/>
  <sheetViews>
    <sheetView zoomScale="75" zoomScaleNormal="90" zoomScaleSheetLayoutView="90" zoomScalePageLayoutView="90" workbookViewId="0">
      <selection activeCell="M21" sqref="M21"/>
    </sheetView>
  </sheetViews>
  <sheetFormatPr defaultColWidth="9.140625" defaultRowHeight="12.75" x14ac:dyDescent="0.2"/>
  <cols>
    <col min="1" max="1" width="12.85546875" style="157" bestFit="1" customWidth="1"/>
    <col min="2" max="2" width="48.42578125" style="157" bestFit="1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5.5703125" style="157" bestFit="1" customWidth="1"/>
    <col min="12" max="12" width="18" style="159" bestFit="1" customWidth="1"/>
    <col min="13" max="13" width="14" style="278" bestFit="1" customWidth="1"/>
    <col min="14" max="14" width="25" style="157" bestFit="1" customWidth="1"/>
    <col min="15" max="15" width="21.85546875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42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420</v>
      </c>
      <c r="B10" s="527" t="s">
        <v>421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 t="s">
        <v>1055</v>
      </c>
      <c r="C11" s="570">
        <f>E6</f>
        <v>1747</v>
      </c>
      <c r="D11" s="374" t="s">
        <v>730</v>
      </c>
      <c r="E11" s="255">
        <v>12</v>
      </c>
      <c r="F11" s="375">
        <v>0</v>
      </c>
      <c r="G11" s="531"/>
      <c r="H11" s="377">
        <v>0</v>
      </c>
      <c r="I11" s="375">
        <f t="shared" ref="I11:I16" si="0">G11*H11</f>
        <v>0</v>
      </c>
      <c r="J11" s="378">
        <f>M14</f>
        <v>36130</v>
      </c>
      <c r="K11" s="532">
        <f t="shared" ref="K11:K16" si="1">F11+I11+J11</f>
        <v>36130</v>
      </c>
      <c r="L11" s="380" t="s">
        <v>1082</v>
      </c>
      <c r="M11" s="381">
        <v>55115</v>
      </c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ref="F12:F16" si="2">C12*E12</f>
        <v>0</v>
      </c>
      <c r="G12" s="531"/>
      <c r="H12" s="377">
        <v>0</v>
      </c>
      <c r="I12" s="375">
        <f t="shared" si="0"/>
        <v>0</v>
      </c>
      <c r="J12" s="378">
        <f>M15</f>
        <v>900</v>
      </c>
      <c r="K12" s="532">
        <f t="shared" si="1"/>
        <v>900</v>
      </c>
      <c r="L12" s="380" t="s">
        <v>1083</v>
      </c>
      <c r="M12" s="381">
        <v>38800</v>
      </c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2"/>
        <v>0</v>
      </c>
      <c r="G13" s="531"/>
      <c r="H13" s="377">
        <v>0</v>
      </c>
      <c r="I13" s="375">
        <f t="shared" si="0"/>
        <v>0</v>
      </c>
      <c r="J13" s="378"/>
      <c r="K13" s="532">
        <f t="shared" si="1"/>
        <v>0</v>
      </c>
      <c r="L13" s="380" t="s">
        <v>1084</v>
      </c>
      <c r="M13" s="381">
        <v>49225</v>
      </c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2"/>
        <v>0</v>
      </c>
      <c r="G14" s="531"/>
      <c r="H14" s="377">
        <v>0</v>
      </c>
      <c r="I14" s="375">
        <f t="shared" si="0"/>
        <v>0</v>
      </c>
      <c r="J14" s="378"/>
      <c r="K14" s="532">
        <f t="shared" si="1"/>
        <v>0</v>
      </c>
      <c r="L14" s="157" t="s">
        <v>1085</v>
      </c>
      <c r="M14" s="381">
        <v>36130</v>
      </c>
      <c r="N14" s="382"/>
      <c r="O14" s="383"/>
      <c r="P14" s="384"/>
      <c r="Q14" s="385"/>
    </row>
    <row r="15" spans="1:17" x14ac:dyDescent="0.2">
      <c r="A15" s="386"/>
      <c r="B15" s="5"/>
      <c r="C15" s="373"/>
      <c r="D15" s="374" t="s">
        <v>21</v>
      </c>
      <c r="E15" s="255">
        <v>0</v>
      </c>
      <c r="F15" s="375">
        <f t="shared" si="2"/>
        <v>0</v>
      </c>
      <c r="G15" s="531"/>
      <c r="H15" s="377">
        <v>0</v>
      </c>
      <c r="I15" s="375">
        <f t="shared" si="0"/>
        <v>0</v>
      </c>
      <c r="J15" s="378"/>
      <c r="K15" s="532">
        <f t="shared" si="1"/>
        <v>0</v>
      </c>
      <c r="L15" s="157" t="s">
        <v>1085</v>
      </c>
      <c r="M15" s="381">
        <v>900</v>
      </c>
      <c r="N15" s="382" t="s">
        <v>1138</v>
      </c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2"/>
        <v>0</v>
      </c>
      <c r="G16" s="531"/>
      <c r="H16" s="377">
        <v>0</v>
      </c>
      <c r="I16" s="375">
        <f t="shared" si="0"/>
        <v>0</v>
      </c>
      <c r="J16" s="378"/>
      <c r="K16" s="532">
        <f t="shared" si="1"/>
        <v>0</v>
      </c>
      <c r="M16" s="381"/>
      <c r="N16" s="382"/>
      <c r="O16" s="383"/>
      <c r="P16" s="384"/>
      <c r="Q16" s="385"/>
    </row>
    <row r="17" spans="1:17" ht="13.5" thickBot="1" x14ac:dyDescent="0.25">
      <c r="A17" s="389"/>
      <c r="B17" s="7"/>
      <c r="C17" s="390"/>
      <c r="D17" s="374"/>
      <c r="E17" s="255"/>
      <c r="F17" s="375"/>
      <c r="G17" s="531"/>
      <c r="H17" s="377"/>
      <c r="I17" s="375"/>
      <c r="J17" s="378"/>
      <c r="K17" s="532"/>
      <c r="M17" s="471"/>
      <c r="O17" s="383"/>
      <c r="P17" s="384"/>
      <c r="Q17" s="385"/>
    </row>
    <row r="18" spans="1:17" ht="13.5" thickTop="1" x14ac:dyDescent="0.2">
      <c r="A18" s="389"/>
      <c r="B18" s="7"/>
      <c r="C18" s="390"/>
      <c r="D18" s="374"/>
      <c r="E18" s="255"/>
      <c r="F18" s="375"/>
      <c r="G18" s="531"/>
      <c r="H18" s="377"/>
      <c r="I18" s="375"/>
      <c r="J18" s="391" t="s">
        <v>30</v>
      </c>
      <c r="K18" s="534">
        <f>SUM(K11:K17)</f>
        <v>37030</v>
      </c>
      <c r="L18" s="157"/>
      <c r="M18" s="471"/>
      <c r="O18" s="383"/>
      <c r="P18" s="384"/>
      <c r="Q18" s="385"/>
    </row>
    <row r="19" spans="1:17" ht="13.5" thickBot="1" x14ac:dyDescent="0.25">
      <c r="A19" s="355" t="s">
        <v>0</v>
      </c>
      <c r="B19" s="356" t="s">
        <v>1</v>
      </c>
      <c r="C19" s="948" t="s">
        <v>656</v>
      </c>
      <c r="D19" s="948"/>
      <c r="E19" s="948"/>
      <c r="F19" s="948"/>
      <c r="G19" s="948" t="s">
        <v>34</v>
      </c>
      <c r="H19" s="948"/>
      <c r="I19" s="948"/>
      <c r="J19" s="357"/>
      <c r="K19" s="525"/>
      <c r="L19" s="393"/>
      <c r="M19" s="394"/>
      <c r="N19" s="395"/>
      <c r="O19" s="383"/>
      <c r="P19" s="384"/>
      <c r="Q19" s="385"/>
    </row>
    <row r="20" spans="1:17" ht="16.5" thickBot="1" x14ac:dyDescent="0.3">
      <c r="A20" s="527" t="s">
        <v>422</v>
      </c>
      <c r="B20" s="527" t="s">
        <v>423</v>
      </c>
      <c r="C20" s="398" t="s">
        <v>19</v>
      </c>
      <c r="D20" s="399" t="s">
        <v>33</v>
      </c>
      <c r="E20" s="400" t="s">
        <v>35</v>
      </c>
      <c r="F20" s="401" t="s">
        <v>30</v>
      </c>
      <c r="G20" s="535" t="s">
        <v>14</v>
      </c>
      <c r="H20" s="400" t="s">
        <v>35</v>
      </c>
      <c r="I20" s="401" t="s">
        <v>30</v>
      </c>
      <c r="J20" s="366" t="s">
        <v>659</v>
      </c>
      <c r="K20" s="536" t="s">
        <v>38</v>
      </c>
      <c r="L20" s="404"/>
      <c r="M20" s="405"/>
      <c r="N20" s="406"/>
      <c r="O20" s="383"/>
      <c r="P20" s="384"/>
      <c r="Q20" s="385"/>
    </row>
    <row r="21" spans="1:17" s="159" customFormat="1" x14ac:dyDescent="0.2">
      <c r="A21" s="407"/>
      <c r="B21" s="408"/>
      <c r="C21" s="373"/>
      <c r="D21" s="374" t="s">
        <v>21</v>
      </c>
      <c r="E21" s="255">
        <v>0</v>
      </c>
      <c r="F21" s="375">
        <f>C21*E21</f>
        <v>0</v>
      </c>
      <c r="G21" s="531"/>
      <c r="H21" s="377">
        <v>0</v>
      </c>
      <c r="I21" s="375">
        <f>G21*H21</f>
        <v>0</v>
      </c>
      <c r="J21" s="378"/>
      <c r="K21" s="532">
        <f>F21+I21+J21</f>
        <v>0</v>
      </c>
      <c r="L21" s="157"/>
      <c r="M21" s="471"/>
      <c r="N21" s="157"/>
      <c r="O21" s="383"/>
      <c r="P21" s="384"/>
      <c r="Q21" s="385"/>
    </row>
    <row r="22" spans="1:17" s="159" customFormat="1" x14ac:dyDescent="0.2">
      <c r="A22" s="372"/>
      <c r="B22" s="5"/>
      <c r="C22" s="373"/>
      <c r="D22" s="374" t="s">
        <v>21</v>
      </c>
      <c r="E22" s="255">
        <v>0</v>
      </c>
      <c r="F22" s="375">
        <f>C22*E22</f>
        <v>0</v>
      </c>
      <c r="G22" s="531"/>
      <c r="H22" s="377">
        <v>0</v>
      </c>
      <c r="I22" s="375">
        <f>G22*H22</f>
        <v>0</v>
      </c>
      <c r="J22" s="378"/>
      <c r="K22" s="532">
        <f>F22+I22+J22</f>
        <v>0</v>
      </c>
      <c r="L22" s="157"/>
      <c r="M22" s="471"/>
      <c r="N22" s="157"/>
      <c r="O22" s="383"/>
      <c r="P22" s="384"/>
      <c r="Q22" s="385"/>
    </row>
    <row r="23" spans="1:17" s="159" customFormat="1" x14ac:dyDescent="0.2">
      <c r="A23" s="372"/>
      <c r="B23" s="5"/>
      <c r="C23" s="373"/>
      <c r="D23" s="374" t="s">
        <v>21</v>
      </c>
      <c r="E23" s="255">
        <v>0</v>
      </c>
      <c r="F23" s="375">
        <f>C23*E23</f>
        <v>0</v>
      </c>
      <c r="G23" s="531"/>
      <c r="H23" s="377">
        <v>0</v>
      </c>
      <c r="I23" s="375">
        <f>G23*H23</f>
        <v>0</v>
      </c>
      <c r="J23" s="378"/>
      <c r="K23" s="532">
        <f>F23+I23+J23</f>
        <v>0</v>
      </c>
      <c r="L23" s="157"/>
      <c r="M23" s="471"/>
      <c r="N23" s="157"/>
      <c r="O23" s="383"/>
      <c r="P23" s="384"/>
      <c r="Q23" s="385"/>
    </row>
    <row r="24" spans="1:17" s="159" customFormat="1" ht="13.5" thickBot="1" x14ac:dyDescent="0.25">
      <c r="A24" s="372"/>
      <c r="B24" s="5"/>
      <c r="C24" s="390"/>
      <c r="D24" s="374"/>
      <c r="E24" s="255"/>
      <c r="F24" s="375"/>
      <c r="G24" s="531"/>
      <c r="H24" s="377"/>
      <c r="I24" s="375"/>
      <c r="J24" s="378"/>
      <c r="K24" s="537"/>
      <c r="L24" s="157"/>
      <c r="M24" s="471"/>
      <c r="N24" s="157"/>
      <c r="O24" s="383"/>
      <c r="P24" s="384"/>
      <c r="Q24" s="385"/>
    </row>
    <row r="25" spans="1:17" s="159" customFormat="1" ht="13.5" thickTop="1" x14ac:dyDescent="0.2">
      <c r="A25" s="389"/>
      <c r="B25" s="5"/>
      <c r="C25" s="390"/>
      <c r="D25" s="374"/>
      <c r="E25" s="255"/>
      <c r="F25" s="375"/>
      <c r="G25" s="531"/>
      <c r="H25" s="377"/>
      <c r="I25" s="375"/>
      <c r="J25" s="391" t="s">
        <v>30</v>
      </c>
      <c r="K25" s="534">
        <f>SUM(K21:K24)</f>
        <v>0</v>
      </c>
      <c r="M25" s="276"/>
      <c r="O25" s="383"/>
      <c r="P25" s="384"/>
      <c r="Q25" s="385"/>
    </row>
    <row r="26" spans="1:17" s="159" customFormat="1" ht="13.5" thickBot="1" x14ac:dyDescent="0.25">
      <c r="A26" s="355" t="s">
        <v>0</v>
      </c>
      <c r="B26" s="356" t="s">
        <v>1</v>
      </c>
      <c r="C26" s="948" t="s">
        <v>656</v>
      </c>
      <c r="D26" s="948"/>
      <c r="E26" s="948"/>
      <c r="F26" s="948"/>
      <c r="G26" s="948" t="s">
        <v>34</v>
      </c>
      <c r="H26" s="948"/>
      <c r="I26" s="948"/>
      <c r="J26" s="357"/>
      <c r="K26" s="525"/>
      <c r="L26" s="393"/>
      <c r="M26" s="394"/>
      <c r="N26" s="395"/>
      <c r="O26" s="383"/>
      <c r="P26" s="384"/>
      <c r="Q26" s="385"/>
    </row>
    <row r="27" spans="1:17" s="159" customFormat="1" ht="16.5" thickBot="1" x14ac:dyDescent="0.3">
      <c r="A27" s="527" t="s">
        <v>424</v>
      </c>
      <c r="B27" s="527" t="s">
        <v>425</v>
      </c>
      <c r="C27" s="398" t="s">
        <v>19</v>
      </c>
      <c r="D27" s="399" t="s">
        <v>33</v>
      </c>
      <c r="E27" s="400" t="s">
        <v>35</v>
      </c>
      <c r="F27" s="401" t="s">
        <v>30</v>
      </c>
      <c r="G27" s="535" t="s">
        <v>14</v>
      </c>
      <c r="H27" s="400" t="s">
        <v>35</v>
      </c>
      <c r="I27" s="401" t="s">
        <v>30</v>
      </c>
      <c r="J27" s="366" t="s">
        <v>659</v>
      </c>
      <c r="K27" s="536" t="s">
        <v>38</v>
      </c>
      <c r="L27" s="404"/>
      <c r="M27" s="405"/>
      <c r="N27" s="406"/>
      <c r="O27" s="383"/>
      <c r="P27" s="384"/>
      <c r="Q27" s="385"/>
    </row>
    <row r="28" spans="1:17" s="159" customFormat="1" x14ac:dyDescent="0.2">
      <c r="A28" s="407"/>
      <c r="B28" s="408"/>
      <c r="C28" s="373"/>
      <c r="D28" s="374" t="s">
        <v>21</v>
      </c>
      <c r="E28" s="255">
        <v>0</v>
      </c>
      <c r="F28" s="375">
        <f>C28*E28</f>
        <v>0</v>
      </c>
      <c r="G28" s="531"/>
      <c r="H28" s="377">
        <v>0</v>
      </c>
      <c r="I28" s="375">
        <f>G28*H28</f>
        <v>0</v>
      </c>
      <c r="J28" s="378"/>
      <c r="K28" s="532">
        <f>F28+I28+J28</f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>C29*E29</f>
        <v>0</v>
      </c>
      <c r="G29" s="531"/>
      <c r="H29" s="377">
        <v>0</v>
      </c>
      <c r="I29" s="375">
        <f>G29*H29</f>
        <v>0</v>
      </c>
      <c r="J29" s="378"/>
      <c r="K29" s="532">
        <f>F29+I29+J29</f>
        <v>0</v>
      </c>
      <c r="L29" s="380"/>
      <c r="M29" s="381"/>
      <c r="N29" s="382"/>
      <c r="O29" s="383"/>
      <c r="P29" s="384"/>
      <c r="Q29" s="385"/>
    </row>
    <row r="30" spans="1:17" s="159" customFormat="1" ht="13.5" thickBot="1" x14ac:dyDescent="0.25">
      <c r="A30" s="389"/>
      <c r="B30" s="414"/>
      <c r="C30" s="390"/>
      <c r="D30" s="374"/>
      <c r="E30" s="255"/>
      <c r="F30" s="375"/>
      <c r="G30" s="531"/>
      <c r="H30" s="377"/>
      <c r="I30" s="375"/>
      <c r="J30" s="378"/>
      <c r="K30" s="537"/>
      <c r="L30" s="380"/>
      <c r="M30" s="381"/>
      <c r="N30" s="382"/>
      <c r="O30" s="383"/>
      <c r="P30" s="384"/>
      <c r="Q30" s="385"/>
    </row>
    <row r="31" spans="1:17" s="159" customFormat="1" ht="13.5" thickTop="1" x14ac:dyDescent="0.2">
      <c r="A31" s="389"/>
      <c r="B31" s="414"/>
      <c r="C31" s="390"/>
      <c r="D31" s="374"/>
      <c r="E31" s="255"/>
      <c r="F31" s="375"/>
      <c r="G31" s="531"/>
      <c r="H31" s="377"/>
      <c r="I31" s="375"/>
      <c r="J31" s="391" t="s">
        <v>30</v>
      </c>
      <c r="K31" s="534">
        <f>SUM(K28:K30)</f>
        <v>0</v>
      </c>
      <c r="L31" s="538"/>
      <c r="M31" s="576"/>
      <c r="N31" s="539"/>
      <c r="O31" s="383"/>
      <c r="P31" s="384"/>
      <c r="Q31" s="385"/>
    </row>
    <row r="32" spans="1:17" s="159" customFormat="1" ht="13.5" thickBot="1" x14ac:dyDescent="0.25">
      <c r="A32" s="355" t="s">
        <v>0</v>
      </c>
      <c r="B32" s="356" t="s">
        <v>1</v>
      </c>
      <c r="C32" s="948" t="s">
        <v>656</v>
      </c>
      <c r="D32" s="948"/>
      <c r="E32" s="948"/>
      <c r="F32" s="948"/>
      <c r="G32" s="948" t="s">
        <v>34</v>
      </c>
      <c r="H32" s="948"/>
      <c r="I32" s="948"/>
      <c r="J32" s="357"/>
      <c r="K32" s="525"/>
      <c r="L32" s="393"/>
      <c r="M32" s="394"/>
      <c r="N32" s="395"/>
      <c r="O32" s="383"/>
      <c r="P32" s="384"/>
      <c r="Q32" s="385"/>
    </row>
    <row r="33" spans="1:17" s="159" customFormat="1" ht="15.75" x14ac:dyDescent="0.25">
      <c r="A33" s="527" t="s">
        <v>679</v>
      </c>
      <c r="B33" s="527" t="s">
        <v>678</v>
      </c>
      <c r="C33" s="398" t="s">
        <v>19</v>
      </c>
      <c r="D33" s="399" t="s">
        <v>33</v>
      </c>
      <c r="E33" s="400" t="s">
        <v>35</v>
      </c>
      <c r="F33" s="401" t="s">
        <v>30</v>
      </c>
      <c r="G33" s="535" t="s">
        <v>14</v>
      </c>
      <c r="H33" s="400" t="s">
        <v>35</v>
      </c>
      <c r="I33" s="401" t="s">
        <v>30</v>
      </c>
      <c r="J33" s="366" t="s">
        <v>659</v>
      </c>
      <c r="K33" s="536" t="s">
        <v>38</v>
      </c>
      <c r="L33" s="404"/>
      <c r="M33" s="410"/>
      <c r="N33" s="411"/>
      <c r="O33" s="383"/>
      <c r="P33" s="384"/>
      <c r="Q33" s="385"/>
    </row>
    <row r="34" spans="1:17" s="159" customFormat="1" x14ac:dyDescent="0.2">
      <c r="A34" s="158" t="s">
        <v>428</v>
      </c>
      <c r="B34" s="157" t="s">
        <v>429</v>
      </c>
      <c r="C34" s="373"/>
      <c r="D34" s="374" t="s">
        <v>21</v>
      </c>
      <c r="E34" s="255">
        <v>0</v>
      </c>
      <c r="F34" s="375">
        <f>C34*E34</f>
        <v>0</v>
      </c>
      <c r="G34" s="531"/>
      <c r="H34" s="377">
        <v>0</v>
      </c>
      <c r="I34" s="375">
        <f>G34*H34</f>
        <v>0</v>
      </c>
      <c r="J34" s="378"/>
      <c r="K34" s="532">
        <f>F34+I34+J34</f>
        <v>0</v>
      </c>
      <c r="L34" s="157"/>
      <c r="M34" s="471"/>
      <c r="N34" s="157"/>
      <c r="O34" s="383"/>
      <c r="P34" s="384"/>
      <c r="Q34" s="385"/>
    </row>
    <row r="35" spans="1:17" s="159" customFormat="1" x14ac:dyDescent="0.2">
      <c r="A35" s="372"/>
      <c r="B35" s="5"/>
      <c r="C35" s="373"/>
      <c r="D35" s="374" t="s">
        <v>21</v>
      </c>
      <c r="E35" s="255">
        <v>0</v>
      </c>
      <c r="F35" s="375">
        <f>C35*E35</f>
        <v>0</v>
      </c>
      <c r="G35" s="531"/>
      <c r="H35" s="377">
        <v>0</v>
      </c>
      <c r="I35" s="375">
        <f>G35*H35</f>
        <v>0</v>
      </c>
      <c r="J35" s="378"/>
      <c r="K35" s="532">
        <f>F35+I35+J35</f>
        <v>0</v>
      </c>
      <c r="L35" s="380"/>
      <c r="M35" s="381"/>
      <c r="N35" s="382"/>
      <c r="O35" s="383"/>
      <c r="P35" s="384"/>
      <c r="Q35" s="385"/>
    </row>
    <row r="36" spans="1:17" s="159" customFormat="1" x14ac:dyDescent="0.2">
      <c r="A36" s="372"/>
      <c r="B36" s="5"/>
      <c r="C36" s="373"/>
      <c r="D36" s="374" t="s">
        <v>21</v>
      </c>
      <c r="E36" s="255">
        <v>0</v>
      </c>
      <c r="F36" s="375">
        <f>C36*E36</f>
        <v>0</v>
      </c>
      <c r="G36" s="531"/>
      <c r="H36" s="377">
        <v>0</v>
      </c>
      <c r="I36" s="375">
        <f>G36*H36</f>
        <v>0</v>
      </c>
      <c r="J36" s="378"/>
      <c r="K36" s="532">
        <f>F36+I36+J36</f>
        <v>0</v>
      </c>
      <c r="M36" s="276"/>
      <c r="O36" s="383"/>
      <c r="P36" s="384"/>
      <c r="Q36" s="385"/>
    </row>
    <row r="37" spans="1:17" s="159" customFormat="1" ht="13.5" thickBot="1" x14ac:dyDescent="0.25">
      <c r="A37" s="389"/>
      <c r="B37" s="414"/>
      <c r="C37" s="390"/>
      <c r="D37" s="374"/>
      <c r="E37" s="255"/>
      <c r="F37" s="375"/>
      <c r="G37" s="531"/>
      <c r="H37" s="377"/>
      <c r="I37" s="375"/>
      <c r="J37" s="378"/>
      <c r="K37" s="537"/>
      <c r="M37" s="276"/>
      <c r="O37" s="412"/>
      <c r="P37" s="413"/>
      <c r="Q37" s="385"/>
    </row>
    <row r="38" spans="1:17" s="159" customFormat="1" ht="13.5" thickTop="1" x14ac:dyDescent="0.2">
      <c r="A38" s="389"/>
      <c r="B38" s="414"/>
      <c r="C38" s="390"/>
      <c r="D38" s="374"/>
      <c r="E38" s="255"/>
      <c r="F38" s="375"/>
      <c r="G38" s="531"/>
      <c r="H38" s="377"/>
      <c r="I38" s="375"/>
      <c r="J38" s="391" t="s">
        <v>30</v>
      </c>
      <c r="K38" s="534">
        <f>SUM(K34:K37)</f>
        <v>0</v>
      </c>
      <c r="L38" s="380"/>
      <c r="M38" s="381"/>
      <c r="N38" s="382"/>
      <c r="O38" s="412"/>
      <c r="P38" s="413"/>
      <c r="Q38" s="385"/>
    </row>
    <row r="39" spans="1:17" s="159" customFormat="1" ht="13.5" thickBot="1" x14ac:dyDescent="0.25">
      <c r="A39" s="355" t="s">
        <v>0</v>
      </c>
      <c r="B39" s="356" t="s">
        <v>1</v>
      </c>
      <c r="C39" s="948" t="s">
        <v>656</v>
      </c>
      <c r="D39" s="948"/>
      <c r="E39" s="948"/>
      <c r="F39" s="948"/>
      <c r="G39" s="948" t="s">
        <v>34</v>
      </c>
      <c r="H39" s="948"/>
      <c r="I39" s="948"/>
      <c r="J39" s="357"/>
      <c r="K39" s="525"/>
      <c r="L39" s="393"/>
      <c r="M39" s="394"/>
      <c r="N39" s="395"/>
      <c r="O39" s="412"/>
      <c r="P39" s="413"/>
      <c r="Q39" s="385"/>
    </row>
    <row r="40" spans="1:17" s="159" customFormat="1" ht="16.5" thickBot="1" x14ac:dyDescent="0.3">
      <c r="A40" s="527" t="s">
        <v>430</v>
      </c>
      <c r="B40" s="527" t="s">
        <v>431</v>
      </c>
      <c r="C40" s="398" t="s">
        <v>19</v>
      </c>
      <c r="D40" s="399" t="s">
        <v>33</v>
      </c>
      <c r="E40" s="400" t="s">
        <v>35</v>
      </c>
      <c r="F40" s="401" t="s">
        <v>30</v>
      </c>
      <c r="G40" s="535" t="s">
        <v>14</v>
      </c>
      <c r="H40" s="400" t="s">
        <v>35</v>
      </c>
      <c r="I40" s="401" t="s">
        <v>30</v>
      </c>
      <c r="J40" s="366" t="s">
        <v>659</v>
      </c>
      <c r="K40" s="536" t="s">
        <v>38</v>
      </c>
      <c r="L40" s="404"/>
      <c r="M40" s="410"/>
      <c r="N40" s="411"/>
      <c r="O40" s="412"/>
      <c r="P40" s="413"/>
      <c r="Q40" s="385"/>
    </row>
    <row r="41" spans="1:17" s="159" customFormat="1" x14ac:dyDescent="0.2">
      <c r="A41" s="407"/>
      <c r="B41" s="408"/>
      <c r="C41" s="373"/>
      <c r="D41" s="374" t="s">
        <v>21</v>
      </c>
      <c r="E41" s="255">
        <v>0</v>
      </c>
      <c r="F41" s="375">
        <f>C41*E41</f>
        <v>0</v>
      </c>
      <c r="G41" s="531"/>
      <c r="H41" s="377">
        <v>0</v>
      </c>
      <c r="I41" s="375">
        <f>G41*H41</f>
        <v>0</v>
      </c>
      <c r="J41" s="378"/>
      <c r="K41" s="532">
        <f>F41+I41+J41</f>
        <v>0</v>
      </c>
      <c r="L41" s="380"/>
      <c r="M41" s="381"/>
      <c r="N41" s="382"/>
      <c r="O41" s="412"/>
      <c r="P41" s="413"/>
      <c r="Q41" s="385"/>
    </row>
    <row r="42" spans="1:17" s="159" customFormat="1" x14ac:dyDescent="0.2">
      <c r="A42" s="372"/>
      <c r="B42" s="5"/>
      <c r="C42" s="373"/>
      <c r="D42" s="374" t="s">
        <v>21</v>
      </c>
      <c r="E42" s="255">
        <v>0</v>
      </c>
      <c r="F42" s="375">
        <f>C42*E42</f>
        <v>0</v>
      </c>
      <c r="G42" s="531"/>
      <c r="H42" s="377">
        <v>0</v>
      </c>
      <c r="I42" s="375">
        <f>G42*H42</f>
        <v>0</v>
      </c>
      <c r="J42" s="378"/>
      <c r="K42" s="532">
        <f>F42+I42+J42</f>
        <v>0</v>
      </c>
      <c r="M42" s="278"/>
      <c r="N42" s="157"/>
      <c r="O42" s="412"/>
      <c r="P42" s="413"/>
      <c r="Q42" s="385"/>
    </row>
    <row r="43" spans="1:17" s="159" customFormat="1" x14ac:dyDescent="0.2">
      <c r="A43" s="372"/>
      <c r="B43" s="5"/>
      <c r="C43" s="373"/>
      <c r="D43" s="374" t="s">
        <v>21</v>
      </c>
      <c r="E43" s="255">
        <v>0</v>
      </c>
      <c r="F43" s="375">
        <f>C43*E43</f>
        <v>0</v>
      </c>
      <c r="G43" s="531"/>
      <c r="H43" s="377">
        <v>0</v>
      </c>
      <c r="I43" s="375">
        <f>G43*H43</f>
        <v>0</v>
      </c>
      <c r="J43" s="378"/>
      <c r="K43" s="532">
        <f>F43+I43+J43</f>
        <v>0</v>
      </c>
      <c r="M43" s="278"/>
      <c r="N43" s="157"/>
      <c r="O43" s="383"/>
      <c r="P43" s="384"/>
      <c r="Q43" s="385"/>
    </row>
    <row r="44" spans="1:17" s="159" customFormat="1" x14ac:dyDescent="0.2">
      <c r="A44" s="372"/>
      <c r="B44" s="5"/>
      <c r="C44" s="373"/>
      <c r="D44" s="374" t="s">
        <v>21</v>
      </c>
      <c r="E44" s="255">
        <v>0</v>
      </c>
      <c r="F44" s="375">
        <f>C44*E44</f>
        <v>0</v>
      </c>
      <c r="G44" s="531"/>
      <c r="H44" s="377">
        <v>0</v>
      </c>
      <c r="I44" s="375">
        <f>G44*H44</f>
        <v>0</v>
      </c>
      <c r="J44" s="378"/>
      <c r="K44" s="532">
        <f>F44+I44+J44</f>
        <v>0</v>
      </c>
      <c r="M44" s="276"/>
      <c r="O44" s="383"/>
      <c r="P44" s="384"/>
      <c r="Q44" s="385"/>
    </row>
    <row r="45" spans="1:17" s="159" customFormat="1" ht="13.5" thickBot="1" x14ac:dyDescent="0.25">
      <c r="A45" s="389"/>
      <c r="B45" s="5"/>
      <c r="C45" s="390"/>
      <c r="D45" s="374"/>
      <c r="E45" s="255"/>
      <c r="F45" s="375"/>
      <c r="G45" s="531"/>
      <c r="H45" s="377"/>
      <c r="I45" s="375"/>
      <c r="J45" s="378"/>
      <c r="K45" s="537"/>
      <c r="M45" s="276"/>
      <c r="O45" s="383"/>
      <c r="P45" s="413"/>
      <c r="Q45" s="385"/>
    </row>
    <row r="46" spans="1:17" s="159" customFormat="1" ht="13.5" thickTop="1" x14ac:dyDescent="0.2">
      <c r="A46" s="389"/>
      <c r="B46" s="414"/>
      <c r="C46" s="390"/>
      <c r="D46" s="374"/>
      <c r="E46" s="255"/>
      <c r="F46" s="375"/>
      <c r="G46" s="531"/>
      <c r="H46" s="377"/>
      <c r="I46" s="375"/>
      <c r="J46" s="391" t="s">
        <v>30</v>
      </c>
      <c r="K46" s="534">
        <f>SUM(K41:K45)</f>
        <v>0</v>
      </c>
      <c r="L46" s="380"/>
      <c r="M46" s="257"/>
      <c r="N46" s="423"/>
      <c r="O46" s="383"/>
      <c r="P46" s="384"/>
      <c r="Q46" s="385"/>
    </row>
    <row r="47" spans="1:17" s="159" customFormat="1" ht="13.5" thickBot="1" x14ac:dyDescent="0.25">
      <c r="A47" s="355" t="s">
        <v>0</v>
      </c>
      <c r="B47" s="356" t="s">
        <v>1</v>
      </c>
      <c r="C47" s="948" t="s">
        <v>656</v>
      </c>
      <c r="D47" s="948"/>
      <c r="E47" s="948"/>
      <c r="F47" s="948"/>
      <c r="G47" s="948" t="s">
        <v>34</v>
      </c>
      <c r="H47" s="948"/>
      <c r="I47" s="948"/>
      <c r="J47" s="357"/>
      <c r="K47" s="525"/>
      <c r="L47" s="393"/>
      <c r="M47" s="394"/>
      <c r="N47" s="395"/>
      <c r="O47" s="383"/>
      <c r="P47" s="384"/>
      <c r="Q47" s="385"/>
    </row>
    <row r="48" spans="1:17" s="159" customFormat="1" ht="16.5" thickBot="1" x14ac:dyDescent="0.3">
      <c r="A48" s="527" t="s">
        <v>432</v>
      </c>
      <c r="B48" s="527" t="s">
        <v>433</v>
      </c>
      <c r="C48" s="398" t="s">
        <v>19</v>
      </c>
      <c r="D48" s="399" t="s">
        <v>33</v>
      </c>
      <c r="E48" s="400" t="s">
        <v>35</v>
      </c>
      <c r="F48" s="401" t="s">
        <v>30</v>
      </c>
      <c r="G48" s="535" t="s">
        <v>14</v>
      </c>
      <c r="H48" s="400" t="s">
        <v>35</v>
      </c>
      <c r="I48" s="401" t="s">
        <v>30</v>
      </c>
      <c r="J48" s="366" t="s">
        <v>659</v>
      </c>
      <c r="K48" s="536" t="s">
        <v>38</v>
      </c>
      <c r="L48" s="404"/>
      <c r="M48" s="410"/>
      <c r="N48" s="411"/>
      <c r="O48" s="383"/>
      <c r="P48" s="384"/>
      <c r="Q48" s="385"/>
    </row>
    <row r="49" spans="1:17" s="159" customFormat="1" x14ac:dyDescent="0.2">
      <c r="A49" s="407"/>
      <c r="B49" s="408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x14ac:dyDescent="0.2">
      <c r="A51" s="372"/>
      <c r="B51" s="5"/>
      <c r="C51" s="373"/>
      <c r="D51" s="374" t="s">
        <v>21</v>
      </c>
      <c r="E51" s="255">
        <v>0</v>
      </c>
      <c r="F51" s="375">
        <f>C51*E51</f>
        <v>0</v>
      </c>
      <c r="G51" s="531"/>
      <c r="H51" s="377">
        <v>0</v>
      </c>
      <c r="I51" s="375">
        <f>G51*H51</f>
        <v>0</v>
      </c>
      <c r="J51" s="378"/>
      <c r="K51" s="532">
        <f>F51+I51+J51</f>
        <v>0</v>
      </c>
      <c r="L51" s="380"/>
      <c r="M51" s="257"/>
      <c r="N51" s="382"/>
      <c r="O51" s="383"/>
      <c r="P51" s="384"/>
      <c r="Q51" s="385"/>
    </row>
    <row r="52" spans="1:17" s="159" customFormat="1" ht="13.5" thickBot="1" x14ac:dyDescent="0.25">
      <c r="A52" s="389"/>
      <c r="B52" s="5"/>
      <c r="C52" s="390"/>
      <c r="D52" s="374"/>
      <c r="E52" s="255"/>
      <c r="F52" s="375"/>
      <c r="G52" s="531"/>
      <c r="H52" s="377"/>
      <c r="I52" s="375"/>
      <c r="J52" s="378"/>
      <c r="K52" s="537"/>
      <c r="L52" s="157"/>
      <c r="M52" s="471"/>
      <c r="N52" s="157"/>
      <c r="O52" s="438"/>
      <c r="P52" s="439"/>
      <c r="Q52" s="385"/>
    </row>
    <row r="53" spans="1:17" s="159" customFormat="1" ht="13.5" thickTop="1" x14ac:dyDescent="0.2">
      <c r="A53" s="389"/>
      <c r="B53" s="414"/>
      <c r="C53" s="390"/>
      <c r="D53" s="374"/>
      <c r="E53" s="255"/>
      <c r="F53" s="375"/>
      <c r="G53" s="531"/>
      <c r="H53" s="377"/>
      <c r="I53" s="375"/>
      <c r="J53" s="391" t="s">
        <v>30</v>
      </c>
      <c r="K53" s="534">
        <f>SUM(K49:K52)</f>
        <v>0</v>
      </c>
      <c r="L53" s="663"/>
      <c r="M53" s="257"/>
      <c r="N53" s="665"/>
      <c r="O53" s="438"/>
      <c r="P53" s="439"/>
      <c r="Q53" s="385"/>
    </row>
    <row r="54" spans="1:17" s="159" customFormat="1" ht="13.5" thickBot="1" x14ac:dyDescent="0.25">
      <c r="A54" s="355" t="s">
        <v>0</v>
      </c>
      <c r="B54" s="356" t="s">
        <v>1</v>
      </c>
      <c r="C54" s="948" t="s">
        <v>656</v>
      </c>
      <c r="D54" s="948"/>
      <c r="E54" s="948"/>
      <c r="F54" s="948"/>
      <c r="G54" s="948" t="s">
        <v>34</v>
      </c>
      <c r="H54" s="948"/>
      <c r="I54" s="948"/>
      <c r="J54" s="357"/>
      <c r="K54" s="525"/>
      <c r="L54" s="393"/>
      <c r="M54" s="394"/>
      <c r="N54" s="395"/>
      <c r="O54" s="412"/>
      <c r="P54" s="413"/>
      <c r="Q54" s="385"/>
    </row>
    <row r="55" spans="1:17" s="159" customFormat="1" ht="16.5" thickBot="1" x14ac:dyDescent="0.3">
      <c r="A55" s="527" t="s">
        <v>434</v>
      </c>
      <c r="B55" s="527" t="s">
        <v>435</v>
      </c>
      <c r="C55" s="398" t="s">
        <v>19</v>
      </c>
      <c r="D55" s="399" t="s">
        <v>33</v>
      </c>
      <c r="E55" s="400" t="s">
        <v>35</v>
      </c>
      <c r="F55" s="401" t="s">
        <v>30</v>
      </c>
      <c r="G55" s="535" t="s">
        <v>14</v>
      </c>
      <c r="H55" s="400" t="s">
        <v>35</v>
      </c>
      <c r="I55" s="401" t="s">
        <v>30</v>
      </c>
      <c r="J55" s="366" t="s">
        <v>659</v>
      </c>
      <c r="K55" s="536" t="s">
        <v>38</v>
      </c>
      <c r="L55" s="404"/>
      <c r="M55" s="410"/>
      <c r="N55" s="411"/>
      <c r="O55" s="383"/>
      <c r="P55" s="384"/>
      <c r="Q55" s="385"/>
    </row>
    <row r="56" spans="1:17" s="159" customFormat="1" x14ac:dyDescent="0.2">
      <c r="A56" s="407"/>
      <c r="B56" s="408"/>
      <c r="C56" s="373"/>
      <c r="D56" s="374" t="s">
        <v>21</v>
      </c>
      <c r="E56" s="255">
        <v>0</v>
      </c>
      <c r="F56" s="375">
        <f>C56*E56</f>
        <v>0</v>
      </c>
      <c r="G56" s="531"/>
      <c r="H56" s="377">
        <v>0</v>
      </c>
      <c r="I56" s="375">
        <f>G56*H56</f>
        <v>0</v>
      </c>
      <c r="J56" s="378"/>
      <c r="K56" s="532">
        <f>F56+I56+J56</f>
        <v>0</v>
      </c>
      <c r="L56" s="380"/>
      <c r="M56" s="257"/>
      <c r="N56" s="382"/>
      <c r="O56" s="383"/>
      <c r="P56" s="384"/>
      <c r="Q56" s="385"/>
    </row>
    <row r="57" spans="1:17" s="159" customFormat="1" ht="13.5" thickBot="1" x14ac:dyDescent="0.25">
      <c r="A57" s="389"/>
      <c r="B57" s="5"/>
      <c r="C57" s="390"/>
      <c r="D57" s="374"/>
      <c r="E57" s="255"/>
      <c r="F57" s="375"/>
      <c r="G57" s="531"/>
      <c r="H57" s="377"/>
      <c r="I57" s="375"/>
      <c r="J57" s="378"/>
      <c r="K57" s="537"/>
      <c r="L57" s="380"/>
      <c r="M57" s="257"/>
      <c r="N57" s="382"/>
      <c r="O57" s="383"/>
      <c r="P57" s="384"/>
      <c r="Q57" s="385"/>
    </row>
    <row r="58" spans="1:17" s="159" customFormat="1" ht="13.5" thickTop="1" x14ac:dyDescent="0.2">
      <c r="A58" s="389"/>
      <c r="B58" s="157"/>
      <c r="C58" s="390"/>
      <c r="D58" s="374"/>
      <c r="E58" s="255"/>
      <c r="F58" s="375"/>
      <c r="G58" s="531"/>
      <c r="H58" s="377"/>
      <c r="I58" s="375"/>
      <c r="J58" s="391" t="s">
        <v>30</v>
      </c>
      <c r="K58" s="534">
        <f>SUM(K56:K57)</f>
        <v>0</v>
      </c>
      <c r="L58" s="380"/>
      <c r="M58" s="257"/>
      <c r="N58" s="382"/>
      <c r="O58" s="383"/>
      <c r="P58" s="384"/>
      <c r="Q58" s="385"/>
    </row>
    <row r="59" spans="1:17" s="159" customFormat="1" ht="13.5" thickBot="1" x14ac:dyDescent="0.25">
      <c r="A59" s="355" t="s">
        <v>0</v>
      </c>
      <c r="B59" s="356" t="s">
        <v>1</v>
      </c>
      <c r="C59" s="948" t="s">
        <v>656</v>
      </c>
      <c r="D59" s="948"/>
      <c r="E59" s="948"/>
      <c r="F59" s="948"/>
      <c r="G59" s="948" t="s">
        <v>34</v>
      </c>
      <c r="H59" s="948"/>
      <c r="I59" s="948"/>
      <c r="J59" s="357"/>
      <c r="K59" s="525"/>
      <c r="L59" s="393"/>
      <c r="M59" s="394"/>
      <c r="N59" s="395"/>
      <c r="O59" s="383"/>
      <c r="P59" s="384"/>
      <c r="Q59" s="385"/>
    </row>
    <row r="60" spans="1:17" s="159" customFormat="1" ht="16.5" thickBot="1" x14ac:dyDescent="0.3">
      <c r="A60" s="527" t="s">
        <v>436</v>
      </c>
      <c r="B60" s="527" t="s">
        <v>437</v>
      </c>
      <c r="C60" s="398" t="s">
        <v>19</v>
      </c>
      <c r="D60" s="399" t="s">
        <v>33</v>
      </c>
      <c r="E60" s="400" t="s">
        <v>35</v>
      </c>
      <c r="F60" s="401" t="s">
        <v>30</v>
      </c>
      <c r="G60" s="535" t="s">
        <v>14</v>
      </c>
      <c r="H60" s="400" t="s">
        <v>35</v>
      </c>
      <c r="I60" s="401" t="s">
        <v>30</v>
      </c>
      <c r="J60" s="366" t="s">
        <v>659</v>
      </c>
      <c r="K60" s="536" t="s">
        <v>38</v>
      </c>
      <c r="L60" s="404"/>
      <c r="M60" s="410"/>
      <c r="N60" s="411"/>
      <c r="O60" s="383"/>
      <c r="P60" s="384"/>
      <c r="Q60" s="385"/>
    </row>
    <row r="61" spans="1:17" s="159" customFormat="1" ht="15" x14ac:dyDescent="0.2">
      <c r="A61" s="638" t="s">
        <v>439</v>
      </c>
      <c r="B61" s="639" t="s">
        <v>438</v>
      </c>
      <c r="C61" s="373"/>
      <c r="D61" s="374" t="s">
        <v>21</v>
      </c>
      <c r="E61" s="255">
        <v>0</v>
      </c>
      <c r="F61" s="375">
        <f>C61*E61</f>
        <v>0</v>
      </c>
      <c r="G61" s="531"/>
      <c r="H61" s="377">
        <v>0</v>
      </c>
      <c r="I61" s="375">
        <f>G61*H61</f>
        <v>0</v>
      </c>
      <c r="J61" s="378"/>
      <c r="K61" s="532">
        <f>F61+I61+J61</f>
        <v>0</v>
      </c>
      <c r="L61" s="380"/>
      <c r="M61" s="257"/>
      <c r="N61" s="423"/>
      <c r="O61" s="383"/>
      <c r="P61" s="384"/>
      <c r="Q61" s="385"/>
    </row>
    <row r="62" spans="1:17" s="159" customFormat="1" x14ac:dyDescent="0.2">
      <c r="A62" s="208" t="s">
        <v>440</v>
      </c>
      <c r="B62" s="678" t="s">
        <v>441</v>
      </c>
      <c r="C62" s="373"/>
      <c r="D62" s="374" t="s">
        <v>21</v>
      </c>
      <c r="E62" s="255">
        <v>0</v>
      </c>
      <c r="F62" s="375">
        <f>C62*E62</f>
        <v>0</v>
      </c>
      <c r="G62" s="531"/>
      <c r="H62" s="377">
        <v>0</v>
      </c>
      <c r="I62" s="375">
        <f>G62*H62</f>
        <v>0</v>
      </c>
      <c r="J62" s="378"/>
      <c r="K62" s="532">
        <f>F62+I62+J62</f>
        <v>0</v>
      </c>
      <c r="M62" s="278"/>
      <c r="N62" s="157"/>
      <c r="O62" s="383"/>
      <c r="P62" s="384"/>
      <c r="Q62" s="385"/>
    </row>
    <row r="63" spans="1:17" s="159" customFormat="1" x14ac:dyDescent="0.2">
      <c r="A63" s="679" t="s">
        <v>442</v>
      </c>
      <c r="B63" s="680" t="s">
        <v>443</v>
      </c>
      <c r="C63" s="373"/>
      <c r="D63" s="374" t="s">
        <v>21</v>
      </c>
      <c r="E63" s="255">
        <v>0</v>
      </c>
      <c r="F63" s="375">
        <f t="shared" ref="F63:F71" si="3">C63*E63</f>
        <v>0</v>
      </c>
      <c r="G63" s="531"/>
      <c r="H63" s="377">
        <v>0</v>
      </c>
      <c r="I63" s="375">
        <f t="shared" ref="I63:I71" si="4">G63*H63</f>
        <v>0</v>
      </c>
      <c r="J63" s="378"/>
      <c r="K63" s="532">
        <f t="shared" ref="K63:K71" si="5">F63+I63+J63</f>
        <v>0</v>
      </c>
      <c r="M63" s="278"/>
      <c r="N63" s="157"/>
      <c r="O63" s="383"/>
      <c r="P63" s="384"/>
      <c r="Q63" s="385"/>
    </row>
    <row r="64" spans="1:17" s="159" customFormat="1" x14ac:dyDescent="0.2">
      <c r="A64" s="679" t="s">
        <v>444</v>
      </c>
      <c r="B64" s="680" t="s">
        <v>445</v>
      </c>
      <c r="C64" s="373"/>
      <c r="D64" s="374" t="s">
        <v>21</v>
      </c>
      <c r="E64" s="255">
        <v>0</v>
      </c>
      <c r="F64" s="375">
        <f t="shared" si="3"/>
        <v>0</v>
      </c>
      <c r="G64" s="531"/>
      <c r="H64" s="377">
        <v>0</v>
      </c>
      <c r="I64" s="375">
        <f t="shared" si="4"/>
        <v>0</v>
      </c>
      <c r="J64" s="378"/>
      <c r="K64" s="532">
        <f t="shared" si="5"/>
        <v>0</v>
      </c>
      <c r="M64" s="276"/>
      <c r="O64" s="383"/>
      <c r="P64" s="384"/>
      <c r="Q64" s="385"/>
    </row>
    <row r="65" spans="1:17" s="159" customFormat="1" ht="15" x14ac:dyDescent="0.2">
      <c r="A65" s="195" t="s">
        <v>446</v>
      </c>
      <c r="B65" s="649" t="s">
        <v>447</v>
      </c>
      <c r="C65" s="373"/>
      <c r="D65" s="374" t="s">
        <v>21</v>
      </c>
      <c r="E65" s="255">
        <v>0</v>
      </c>
      <c r="F65" s="375">
        <f t="shared" si="3"/>
        <v>0</v>
      </c>
      <c r="G65" s="531"/>
      <c r="H65" s="377">
        <v>0</v>
      </c>
      <c r="I65" s="375">
        <f t="shared" si="4"/>
        <v>0</v>
      </c>
      <c r="J65" s="378"/>
      <c r="K65" s="532">
        <f t="shared" si="5"/>
        <v>0</v>
      </c>
      <c r="M65" s="276"/>
      <c r="O65" s="383"/>
      <c r="P65" s="384"/>
      <c r="Q65" s="385"/>
    </row>
    <row r="66" spans="1:17" s="159" customFormat="1" x14ac:dyDescent="0.2">
      <c r="A66" s="208" t="s">
        <v>448</v>
      </c>
      <c r="B66" s="678" t="s">
        <v>449</v>
      </c>
      <c r="C66" s="373"/>
      <c r="D66" s="374" t="s">
        <v>21</v>
      </c>
      <c r="E66" s="255">
        <v>0</v>
      </c>
      <c r="F66" s="375">
        <f t="shared" si="3"/>
        <v>0</v>
      </c>
      <c r="G66" s="531"/>
      <c r="H66" s="377">
        <v>0</v>
      </c>
      <c r="I66" s="375">
        <f t="shared" si="4"/>
        <v>0</v>
      </c>
      <c r="J66" s="378"/>
      <c r="K66" s="532">
        <f t="shared" si="5"/>
        <v>0</v>
      </c>
      <c r="L66" s="380"/>
      <c r="M66" s="381"/>
      <c r="N66" s="382"/>
      <c r="O66" s="383"/>
      <c r="P66" s="384"/>
      <c r="Q66" s="385"/>
    </row>
    <row r="67" spans="1:17" s="159" customFormat="1" ht="15" x14ac:dyDescent="0.2">
      <c r="A67" s="195" t="s">
        <v>450</v>
      </c>
      <c r="B67" s="649" t="s">
        <v>451</v>
      </c>
      <c r="C67" s="373"/>
      <c r="D67" s="374" t="s">
        <v>21</v>
      </c>
      <c r="E67" s="255">
        <v>0</v>
      </c>
      <c r="F67" s="375">
        <f t="shared" si="3"/>
        <v>0</v>
      </c>
      <c r="G67" s="531"/>
      <c r="H67" s="377">
        <v>0</v>
      </c>
      <c r="I67" s="375">
        <f t="shared" si="4"/>
        <v>0</v>
      </c>
      <c r="J67" s="378"/>
      <c r="K67" s="532">
        <f t="shared" si="5"/>
        <v>0</v>
      </c>
      <c r="L67" s="380"/>
      <c r="M67" s="381"/>
      <c r="N67" s="382"/>
      <c r="O67" s="383"/>
      <c r="P67" s="384"/>
      <c r="Q67" s="385"/>
    </row>
    <row r="68" spans="1:17" s="159" customFormat="1" ht="15" x14ac:dyDescent="0.2">
      <c r="A68" s="195" t="s">
        <v>452</v>
      </c>
      <c r="B68" s="649" t="s">
        <v>453</v>
      </c>
      <c r="C68" s="373"/>
      <c r="D68" s="374" t="s">
        <v>21</v>
      </c>
      <c r="E68" s="255">
        <v>0</v>
      </c>
      <c r="F68" s="375">
        <f t="shared" si="3"/>
        <v>0</v>
      </c>
      <c r="G68" s="531"/>
      <c r="H68" s="377">
        <v>0</v>
      </c>
      <c r="I68" s="375">
        <f t="shared" si="4"/>
        <v>0</v>
      </c>
      <c r="J68" s="378"/>
      <c r="K68" s="532">
        <f t="shared" si="5"/>
        <v>0</v>
      </c>
      <c r="M68" s="276"/>
      <c r="O68" s="383"/>
      <c r="P68" s="384"/>
      <c r="Q68" s="385"/>
    </row>
    <row r="69" spans="1:17" s="159" customFormat="1" x14ac:dyDescent="0.2">
      <c r="A69" s="372"/>
      <c r="B69" s="5"/>
      <c r="C69" s="373"/>
      <c r="D69" s="374" t="s">
        <v>21</v>
      </c>
      <c r="E69" s="255">
        <v>0</v>
      </c>
      <c r="F69" s="375">
        <f t="shared" si="3"/>
        <v>0</v>
      </c>
      <c r="G69" s="531"/>
      <c r="H69" s="377">
        <v>0</v>
      </c>
      <c r="I69" s="375">
        <f t="shared" si="4"/>
        <v>0</v>
      </c>
      <c r="J69" s="378"/>
      <c r="K69" s="532">
        <f t="shared" si="5"/>
        <v>0</v>
      </c>
      <c r="M69" s="276"/>
      <c r="O69" s="383"/>
      <c r="P69" s="384"/>
      <c r="Q69" s="385"/>
    </row>
    <row r="70" spans="1:17" s="159" customFormat="1" x14ac:dyDescent="0.2">
      <c r="A70" s="372"/>
      <c r="B70" s="5"/>
      <c r="C70" s="373"/>
      <c r="D70" s="374" t="s">
        <v>21</v>
      </c>
      <c r="E70" s="255">
        <v>0</v>
      </c>
      <c r="F70" s="375">
        <f t="shared" si="3"/>
        <v>0</v>
      </c>
      <c r="G70" s="531"/>
      <c r="H70" s="377">
        <v>0</v>
      </c>
      <c r="I70" s="375">
        <f t="shared" si="4"/>
        <v>0</v>
      </c>
      <c r="J70" s="378"/>
      <c r="K70" s="532">
        <f t="shared" si="5"/>
        <v>0</v>
      </c>
      <c r="M70" s="278"/>
      <c r="N70" s="157"/>
      <c r="O70" s="383"/>
      <c r="P70" s="384"/>
      <c r="Q70" s="385"/>
    </row>
    <row r="71" spans="1:17" s="159" customFormat="1" x14ac:dyDescent="0.2">
      <c r="A71" s="372"/>
      <c r="B71" s="5"/>
      <c r="C71" s="373"/>
      <c r="D71" s="374" t="s">
        <v>21</v>
      </c>
      <c r="E71" s="255">
        <v>0</v>
      </c>
      <c r="F71" s="375">
        <f t="shared" si="3"/>
        <v>0</v>
      </c>
      <c r="G71" s="531"/>
      <c r="H71" s="377">
        <v>0</v>
      </c>
      <c r="I71" s="375">
        <f t="shared" si="4"/>
        <v>0</v>
      </c>
      <c r="J71" s="378"/>
      <c r="K71" s="532">
        <f t="shared" si="5"/>
        <v>0</v>
      </c>
      <c r="M71" s="278"/>
      <c r="N71" s="157"/>
      <c r="O71" s="383"/>
      <c r="P71" s="384"/>
      <c r="Q71" s="385"/>
    </row>
    <row r="72" spans="1:17" s="159" customFormat="1" ht="13.5" thickBot="1" x14ac:dyDescent="0.25">
      <c r="A72" s="389"/>
      <c r="B72" s="5"/>
      <c r="C72" s="390"/>
      <c r="D72" s="374"/>
      <c r="E72" s="255"/>
      <c r="F72" s="375"/>
      <c r="G72" s="531"/>
      <c r="H72" s="377"/>
      <c r="I72" s="375"/>
      <c r="J72" s="378"/>
      <c r="K72" s="537"/>
      <c r="M72" s="278"/>
      <c r="N72" s="157"/>
      <c r="O72" s="383"/>
      <c r="P72" s="384"/>
      <c r="Q72" s="385"/>
    </row>
    <row r="73" spans="1:17" s="159" customFormat="1" ht="13.5" thickTop="1" x14ac:dyDescent="0.2">
      <c r="A73" s="389"/>
      <c r="B73" s="414"/>
      <c r="C73" s="390"/>
      <c r="D73" s="374"/>
      <c r="E73" s="255"/>
      <c r="F73" s="375"/>
      <c r="G73" s="531"/>
      <c r="H73" s="377"/>
      <c r="I73" s="375"/>
      <c r="J73" s="391" t="s">
        <v>30</v>
      </c>
      <c r="K73" s="534">
        <f>SUM(K61:K72)</f>
        <v>0</v>
      </c>
      <c r="M73" s="276"/>
      <c r="O73" s="383"/>
      <c r="P73" s="384"/>
      <c r="Q73" s="385"/>
    </row>
    <row r="74" spans="1:17" s="159" customFormat="1" ht="13.5" thickBot="1" x14ac:dyDescent="0.25">
      <c r="A74" s="355" t="s">
        <v>0</v>
      </c>
      <c r="B74" s="356" t="s">
        <v>1</v>
      </c>
      <c r="C74" s="948" t="s">
        <v>656</v>
      </c>
      <c r="D74" s="948"/>
      <c r="E74" s="948"/>
      <c r="F74" s="948"/>
      <c r="G74" s="948" t="s">
        <v>34</v>
      </c>
      <c r="H74" s="948"/>
      <c r="I74" s="948"/>
      <c r="J74" s="357"/>
      <c r="K74" s="525"/>
      <c r="L74" s="393"/>
      <c r="M74" s="357"/>
      <c r="N74" s="440"/>
      <c r="O74" s="383"/>
      <c r="P74" s="384"/>
      <c r="Q74" s="385"/>
    </row>
    <row r="75" spans="1:17" s="159" customFormat="1" ht="16.5" thickBot="1" x14ac:dyDescent="0.3">
      <c r="A75" s="527" t="s">
        <v>454</v>
      </c>
      <c r="B75" s="527" t="s">
        <v>455</v>
      </c>
      <c r="C75" s="398" t="s">
        <v>19</v>
      </c>
      <c r="D75" s="399" t="s">
        <v>33</v>
      </c>
      <c r="E75" s="400" t="s">
        <v>35</v>
      </c>
      <c r="F75" s="401" t="s">
        <v>30</v>
      </c>
      <c r="G75" s="535" t="s">
        <v>14</v>
      </c>
      <c r="H75" s="400" t="s">
        <v>35</v>
      </c>
      <c r="I75" s="401" t="s">
        <v>30</v>
      </c>
      <c r="J75" s="366" t="s">
        <v>659</v>
      </c>
      <c r="K75" s="536" t="s">
        <v>38</v>
      </c>
      <c r="L75" s="404"/>
      <c r="M75" s="410"/>
      <c r="N75" s="411"/>
      <c r="O75" s="383"/>
      <c r="P75" s="384"/>
      <c r="Q75" s="385"/>
    </row>
    <row r="76" spans="1:17" s="159" customFormat="1" ht="15" x14ac:dyDescent="0.2">
      <c r="A76" s="658" t="s">
        <v>456</v>
      </c>
      <c r="B76" s="639" t="s">
        <v>457</v>
      </c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M76" s="276"/>
      <c r="O76" s="383"/>
      <c r="P76" s="384"/>
      <c r="Q76" s="385"/>
    </row>
    <row r="77" spans="1:17" s="159" customFormat="1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ht="13.5" thickBot="1" x14ac:dyDescent="0.25">
      <c r="A78" s="389"/>
      <c r="B78" s="414"/>
      <c r="C78" s="373"/>
      <c r="D78" s="374"/>
      <c r="E78" s="255"/>
      <c r="F78" s="375"/>
      <c r="G78" s="531"/>
      <c r="H78" s="377"/>
      <c r="I78" s="375"/>
      <c r="J78" s="378"/>
      <c r="K78" s="532"/>
      <c r="L78" s="380"/>
      <c r="M78" s="381"/>
      <c r="N78" s="382"/>
      <c r="O78" s="383"/>
      <c r="P78" s="384"/>
      <c r="Q78" s="385"/>
    </row>
    <row r="79" spans="1:17" s="159" customFormat="1" ht="14.25" thickTop="1" thickBot="1" x14ac:dyDescent="0.25">
      <c r="A79" s="472"/>
      <c r="B79" s="156"/>
      <c r="C79" s="473"/>
      <c r="D79" s="474"/>
      <c r="E79" s="475"/>
      <c r="F79" s="476"/>
      <c r="G79" s="636"/>
      <c r="H79" s="475"/>
      <c r="I79" s="476"/>
      <c r="J79" s="478" t="s">
        <v>30</v>
      </c>
      <c r="K79" s="637">
        <f>SUM(K76:K78)</f>
        <v>0</v>
      </c>
      <c r="L79" s="380"/>
      <c r="M79" s="381"/>
      <c r="N79" s="382"/>
      <c r="O79" s="383"/>
      <c r="P79" s="384"/>
      <c r="Q79" s="385"/>
    </row>
    <row r="80" spans="1:17" s="159" customFormat="1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s="159" customFormat="1" ht="16.5" thickBot="1" x14ac:dyDescent="0.3">
      <c r="A81" s="527" t="s">
        <v>458</v>
      </c>
      <c r="B81" s="527" t="s">
        <v>459</v>
      </c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s="159" customFormat="1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ht="13.5" thickBot="1" x14ac:dyDescent="0.25">
      <c r="A84" s="389"/>
      <c r="B84" s="414"/>
      <c r="C84" s="373"/>
      <c r="D84" s="374"/>
      <c r="E84" s="255"/>
      <c r="F84" s="375"/>
      <c r="G84" s="531"/>
      <c r="H84" s="377"/>
      <c r="I84" s="375"/>
      <c r="J84" s="378"/>
      <c r="K84" s="532"/>
      <c r="M84" s="276"/>
      <c r="O84" s="383"/>
      <c r="P84" s="384"/>
      <c r="Q84" s="385"/>
    </row>
    <row r="85" spans="1:17" s="159" customFormat="1" ht="14.25" thickTop="1" thickBot="1" x14ac:dyDescent="0.25">
      <c r="A85" s="472"/>
      <c r="B85" s="156"/>
      <c r="C85" s="473"/>
      <c r="D85" s="474"/>
      <c r="E85" s="475"/>
      <c r="F85" s="476"/>
      <c r="G85" s="636"/>
      <c r="H85" s="475"/>
      <c r="I85" s="476"/>
      <c r="J85" s="478" t="s">
        <v>30</v>
      </c>
      <c r="K85" s="637">
        <f>SUM(K82:K84)</f>
        <v>0</v>
      </c>
      <c r="M85" s="276"/>
      <c r="O85" s="383"/>
      <c r="P85" s="384"/>
      <c r="Q85" s="385"/>
    </row>
    <row r="86" spans="1:17" s="159" customFormat="1" ht="13.5" thickBot="1" x14ac:dyDescent="0.25">
      <c r="A86" s="355" t="s">
        <v>0</v>
      </c>
      <c r="B86" s="356" t="s">
        <v>1</v>
      </c>
      <c r="C86" s="948" t="s">
        <v>656</v>
      </c>
      <c r="D86" s="948"/>
      <c r="E86" s="948"/>
      <c r="F86" s="948"/>
      <c r="G86" s="948" t="s">
        <v>34</v>
      </c>
      <c r="H86" s="948"/>
      <c r="I86" s="948"/>
      <c r="J86" s="357"/>
      <c r="K86" s="525"/>
      <c r="L86" s="393"/>
      <c r="M86" s="394"/>
      <c r="N86" s="395"/>
      <c r="O86" s="383"/>
      <c r="P86" s="384"/>
      <c r="Q86" s="385"/>
    </row>
    <row r="87" spans="1:17" s="159" customFormat="1" ht="16.5" thickBot="1" x14ac:dyDescent="0.3">
      <c r="A87" s="527" t="s">
        <v>460</v>
      </c>
      <c r="B87" s="527" t="s">
        <v>461</v>
      </c>
      <c r="C87" s="398" t="s">
        <v>19</v>
      </c>
      <c r="D87" s="399" t="s">
        <v>33</v>
      </c>
      <c r="E87" s="400" t="s">
        <v>35</v>
      </c>
      <c r="F87" s="401" t="s">
        <v>30</v>
      </c>
      <c r="G87" s="535" t="s">
        <v>14</v>
      </c>
      <c r="H87" s="400" t="s">
        <v>35</v>
      </c>
      <c r="I87" s="401" t="s">
        <v>30</v>
      </c>
      <c r="J87" s="366" t="s">
        <v>659</v>
      </c>
      <c r="K87" s="536" t="s">
        <v>38</v>
      </c>
      <c r="L87" s="404"/>
      <c r="M87" s="405"/>
      <c r="N87" s="406"/>
      <c r="O87" s="383"/>
      <c r="P87" s="384"/>
      <c r="Q87" s="385"/>
    </row>
    <row r="88" spans="1:17" s="159" customFormat="1" x14ac:dyDescent="0.2">
      <c r="A88" s="407"/>
      <c r="B88" s="408"/>
      <c r="C88" s="373"/>
      <c r="D88" s="374" t="s">
        <v>21</v>
      </c>
      <c r="E88" s="255">
        <v>0</v>
      </c>
      <c r="F88" s="375">
        <f>C88*E88</f>
        <v>0</v>
      </c>
      <c r="G88" s="531"/>
      <c r="H88" s="377">
        <v>0</v>
      </c>
      <c r="I88" s="375">
        <f>G88*H88</f>
        <v>0</v>
      </c>
      <c r="J88" s="378"/>
      <c r="K88" s="532">
        <f>F88+I88+J88</f>
        <v>0</v>
      </c>
      <c r="M88" s="278"/>
      <c r="N88" s="157"/>
      <c r="O88" s="383"/>
      <c r="P88" s="384"/>
      <c r="Q88" s="385"/>
    </row>
    <row r="89" spans="1:17" s="159" customFormat="1" x14ac:dyDescent="0.2">
      <c r="A89" s="372"/>
      <c r="B89" s="5"/>
      <c r="C89" s="373"/>
      <c r="D89" s="374" t="s">
        <v>21</v>
      </c>
      <c r="E89" s="255">
        <v>0</v>
      </c>
      <c r="F89" s="375">
        <f>C89*E89</f>
        <v>0</v>
      </c>
      <c r="G89" s="531"/>
      <c r="H89" s="377">
        <v>0</v>
      </c>
      <c r="I89" s="375">
        <f>G89*H89</f>
        <v>0</v>
      </c>
      <c r="J89" s="378"/>
      <c r="K89" s="532">
        <f>F89+I89+J89</f>
        <v>0</v>
      </c>
      <c r="M89" s="278"/>
      <c r="N89" s="157"/>
      <c r="O89" s="383"/>
      <c r="P89" s="384"/>
      <c r="Q89" s="385"/>
    </row>
    <row r="90" spans="1:17" s="159" customFormat="1" ht="13.5" thickBot="1" x14ac:dyDescent="0.25">
      <c r="A90" s="389"/>
      <c r="B90" s="414"/>
      <c r="C90" s="373"/>
      <c r="D90" s="374"/>
      <c r="E90" s="255"/>
      <c r="F90" s="375"/>
      <c r="G90" s="531"/>
      <c r="H90" s="377"/>
      <c r="I90" s="375"/>
      <c r="J90" s="378"/>
      <c r="K90" s="532"/>
      <c r="M90" s="276"/>
      <c r="O90" s="383"/>
      <c r="P90" s="384"/>
      <c r="Q90" s="385"/>
    </row>
    <row r="91" spans="1:17" s="159" customFormat="1" ht="14.25" thickTop="1" thickBot="1" x14ac:dyDescent="0.25">
      <c r="A91" s="472"/>
      <c r="B91" s="156"/>
      <c r="C91" s="473"/>
      <c r="D91" s="474"/>
      <c r="E91" s="475"/>
      <c r="F91" s="476"/>
      <c r="G91" s="636"/>
      <c r="H91" s="475"/>
      <c r="I91" s="476"/>
      <c r="J91" s="478" t="s">
        <v>30</v>
      </c>
      <c r="K91" s="637">
        <f>SUM(K88:K90)</f>
        <v>0</v>
      </c>
      <c r="M91" s="276"/>
      <c r="O91" s="383"/>
      <c r="P91" s="384"/>
      <c r="Q91" s="385"/>
    </row>
    <row r="92" spans="1:17" s="159" customFormat="1" ht="13.5" thickBot="1" x14ac:dyDescent="0.25">
      <c r="A92" s="355" t="s">
        <v>0</v>
      </c>
      <c r="B92" s="356" t="s">
        <v>1</v>
      </c>
      <c r="C92" s="948" t="s">
        <v>656</v>
      </c>
      <c r="D92" s="948"/>
      <c r="E92" s="948"/>
      <c r="F92" s="948"/>
      <c r="G92" s="948" t="s">
        <v>34</v>
      </c>
      <c r="H92" s="948"/>
      <c r="I92" s="948"/>
      <c r="J92" s="357"/>
      <c r="K92" s="525"/>
      <c r="L92" s="393"/>
      <c r="M92" s="394"/>
      <c r="N92" s="395"/>
      <c r="O92" s="383"/>
      <c r="P92" s="384"/>
      <c r="Q92" s="385"/>
    </row>
    <row r="93" spans="1:17" s="159" customFormat="1" ht="16.5" thickBot="1" x14ac:dyDescent="0.3">
      <c r="A93" s="396"/>
      <c r="B93" s="397"/>
      <c r="C93" s="398" t="s">
        <v>19</v>
      </c>
      <c r="D93" s="399" t="s">
        <v>33</v>
      </c>
      <c r="E93" s="400" t="s">
        <v>35</v>
      </c>
      <c r="F93" s="401" t="s">
        <v>30</v>
      </c>
      <c r="G93" s="535" t="s">
        <v>14</v>
      </c>
      <c r="H93" s="400" t="s">
        <v>35</v>
      </c>
      <c r="I93" s="401" t="s">
        <v>30</v>
      </c>
      <c r="J93" s="366" t="s">
        <v>659</v>
      </c>
      <c r="K93" s="536" t="s">
        <v>38</v>
      </c>
      <c r="L93" s="404"/>
      <c r="M93" s="405"/>
      <c r="N93" s="406"/>
      <c r="O93" s="383"/>
      <c r="P93" s="384"/>
      <c r="Q93" s="385"/>
    </row>
    <row r="94" spans="1:17" s="159" customFormat="1" x14ac:dyDescent="0.2">
      <c r="A94" s="407"/>
      <c r="B94" s="408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s="159" customFormat="1" x14ac:dyDescent="0.2">
      <c r="A95" s="372"/>
      <c r="B95" s="5"/>
      <c r="C95" s="373"/>
      <c r="D95" s="374" t="s">
        <v>21</v>
      </c>
      <c r="E95" s="255">
        <v>0</v>
      </c>
      <c r="F95" s="375">
        <f>C95*E95</f>
        <v>0</v>
      </c>
      <c r="G95" s="531"/>
      <c r="H95" s="377">
        <v>0</v>
      </c>
      <c r="I95" s="375">
        <f>G95*H95</f>
        <v>0</v>
      </c>
      <c r="J95" s="378"/>
      <c r="K95" s="532">
        <f>F95+I95+J95</f>
        <v>0</v>
      </c>
      <c r="L95" s="669"/>
      <c r="M95" s="670"/>
      <c r="N95" s="672"/>
      <c r="O95" s="383"/>
      <c r="P95" s="384"/>
      <c r="Q95" s="385"/>
    </row>
    <row r="96" spans="1:17" s="159" customFormat="1" x14ac:dyDescent="0.2">
      <c r="A96" s="372"/>
      <c r="B96" s="5"/>
      <c r="C96" s="373"/>
      <c r="D96" s="374" t="s">
        <v>21</v>
      </c>
      <c r="E96" s="255">
        <v>0</v>
      </c>
      <c r="F96" s="375">
        <f>C96*E96</f>
        <v>0</v>
      </c>
      <c r="G96" s="531"/>
      <c r="H96" s="377">
        <v>0</v>
      </c>
      <c r="I96" s="375">
        <f>G96*H96</f>
        <v>0</v>
      </c>
      <c r="J96" s="378"/>
      <c r="K96" s="532">
        <f>F96+I96+J96</f>
        <v>0</v>
      </c>
      <c r="L96" s="669"/>
      <c r="M96" s="670"/>
      <c r="N96" s="672"/>
      <c r="O96" s="383"/>
      <c r="P96" s="384"/>
      <c r="Q96" s="385"/>
    </row>
    <row r="97" spans="1:17" s="159" customFormat="1" x14ac:dyDescent="0.2">
      <c r="A97" s="372"/>
      <c r="B97" s="5"/>
      <c r="C97" s="373"/>
      <c r="D97" s="374" t="s">
        <v>21</v>
      </c>
      <c r="E97" s="255">
        <v>0</v>
      </c>
      <c r="F97" s="375">
        <f>C97*E97</f>
        <v>0</v>
      </c>
      <c r="G97" s="531"/>
      <c r="H97" s="377">
        <v>0</v>
      </c>
      <c r="I97" s="375">
        <f>G97*H97</f>
        <v>0</v>
      </c>
      <c r="J97" s="378"/>
      <c r="K97" s="532">
        <f>F97+I97+J97</f>
        <v>0</v>
      </c>
      <c r="L97" s="669"/>
      <c r="M97" s="670"/>
      <c r="N97" s="672"/>
      <c r="O97" s="383"/>
      <c r="P97" s="384"/>
      <c r="Q97" s="385"/>
    </row>
    <row r="98" spans="1:17" s="159" customFormat="1" ht="13.5" thickBot="1" x14ac:dyDescent="0.25">
      <c r="A98" s="389"/>
      <c r="B98" s="414"/>
      <c r="C98" s="373"/>
      <c r="D98" s="374"/>
      <c r="E98" s="255"/>
      <c r="F98" s="375"/>
      <c r="G98" s="531"/>
      <c r="H98" s="377"/>
      <c r="I98" s="375"/>
      <c r="J98" s="378"/>
      <c r="K98" s="532"/>
      <c r="L98" s="669"/>
      <c r="M98" s="670"/>
      <c r="N98" s="672"/>
      <c r="O98" s="383"/>
      <c r="P98" s="384"/>
      <c r="Q98" s="385"/>
    </row>
    <row r="99" spans="1:17" s="159" customFormat="1" ht="14.25" thickTop="1" thickBot="1" x14ac:dyDescent="0.25">
      <c r="A99" s="472"/>
      <c r="B99" s="156"/>
      <c r="C99" s="473"/>
      <c r="D99" s="474"/>
      <c r="E99" s="475"/>
      <c r="F99" s="476"/>
      <c r="G99" s="636"/>
      <c r="H99" s="475"/>
      <c r="I99" s="476"/>
      <c r="J99" s="478" t="s">
        <v>30</v>
      </c>
      <c r="K99" s="637">
        <f>SUM(K94:K98)</f>
        <v>0</v>
      </c>
      <c r="L99" s="673"/>
      <c r="M99" s="674"/>
      <c r="N99" s="675"/>
      <c r="O99" s="462"/>
      <c r="P99" s="463"/>
      <c r="Q99" s="464"/>
    </row>
    <row r="100" spans="1:17" s="159" customFormat="1" ht="14.1" customHeight="1" x14ac:dyDescent="0.25">
      <c r="A100" s="480"/>
      <c r="B100" s="481"/>
      <c r="C100" s="482"/>
      <c r="D100" s="482"/>
      <c r="E100" s="483"/>
      <c r="F100" s="978" t="s">
        <v>658</v>
      </c>
      <c r="G100" s="1001" t="s">
        <v>682</v>
      </c>
      <c r="H100" s="483"/>
      <c r="I100" s="971" t="s">
        <v>657</v>
      </c>
      <c r="J100" s="967" t="s">
        <v>683</v>
      </c>
      <c r="K100" s="965" t="s">
        <v>31</v>
      </c>
      <c r="M100" s="278"/>
      <c r="N100" s="157"/>
      <c r="O100" s="304"/>
      <c r="P100" s="304"/>
    </row>
    <row r="101" spans="1:17" s="159" customFormat="1" ht="15" x14ac:dyDescent="0.2">
      <c r="A101" s="484" t="s">
        <v>32</v>
      </c>
      <c r="B101" s="973" t="s">
        <v>676</v>
      </c>
      <c r="C101" s="485"/>
      <c r="D101" s="486"/>
      <c r="E101" s="486"/>
      <c r="F101" s="979"/>
      <c r="G101" s="1002"/>
      <c r="H101" s="487"/>
      <c r="I101" s="972"/>
      <c r="J101" s="968"/>
      <c r="K101" s="966"/>
      <c r="M101" s="278"/>
      <c r="N101" s="157"/>
      <c r="O101" s="304"/>
      <c r="P101" s="304"/>
    </row>
    <row r="102" spans="1:17" s="159" customFormat="1" ht="15" x14ac:dyDescent="0.25">
      <c r="A102" s="828">
        <f>K102/E6</f>
        <v>21.196336576989125</v>
      </c>
      <c r="B102" s="973"/>
      <c r="C102" s="486"/>
      <c r="D102" s="486"/>
      <c r="E102" s="486"/>
      <c r="F102" s="961">
        <f>SUM(F94:F98,F88:F90,F82:F84,F76:F78,F61:F72,F56:F57,F49:F52,F41:F45,F34:F37,F28:F30,F21:F24,F11:F17)</f>
        <v>0</v>
      </c>
      <c r="G102" s="1006">
        <f>SUM(G94:G98,G88:G90,G82:G84,G76:G78,G61:G72,G56:G57,G49:G52,G41:G45,G34:G37,G28:G30,G21:G24,G11:G17)</f>
        <v>0</v>
      </c>
      <c r="H102" s="487"/>
      <c r="I102" s="961">
        <f>SUM(I94:I98,I88:I90,I82:I84,I76:I78,I61:I72,I56:I57,I49:I52,I41:I45,I34:I37,I28:I30,I21:I24,I11:I17)</f>
        <v>0</v>
      </c>
      <c r="J102" s="961">
        <f>SUM(J94:J98,J88:J90,J82:J84,J76:J78,J61:J72,J56:J57,J49:J52,J41:J45,J34:J37,J28:J30,J21:J24,J11:J17)</f>
        <v>37030</v>
      </c>
      <c r="K102" s="963">
        <f>K99+K91+K85+K79+K73+K58+K53+K46+K38+K31+K25+K18</f>
        <v>37030</v>
      </c>
      <c r="M102" s="278"/>
      <c r="N102" s="157"/>
      <c r="O102" s="304"/>
      <c r="P102" s="304"/>
    </row>
    <row r="103" spans="1:17" s="159" customFormat="1" ht="15" thickBot="1" x14ac:dyDescent="0.25">
      <c r="A103" s="484"/>
      <c r="B103" s="552"/>
      <c r="C103" s="490"/>
      <c r="D103" s="490"/>
      <c r="E103" s="490"/>
      <c r="F103" s="962"/>
      <c r="G103" s="1007"/>
      <c r="H103" s="490"/>
      <c r="I103" s="962"/>
      <c r="J103" s="962"/>
      <c r="K103" s="964"/>
      <c r="M103" s="278"/>
      <c r="N103" s="157"/>
      <c r="O103" s="304"/>
      <c r="P103" s="304"/>
    </row>
    <row r="104" spans="1:17" s="159" customFormat="1" ht="13.5" thickBot="1" x14ac:dyDescent="0.25">
      <c r="A104" s="491"/>
      <c r="B104" s="492"/>
      <c r="C104" s="492"/>
      <c r="D104" s="492"/>
      <c r="E104" s="492"/>
      <c r="F104" s="492"/>
      <c r="G104" s="492"/>
      <c r="H104" s="492"/>
      <c r="I104" s="492"/>
      <c r="J104" s="492"/>
      <c r="K104" s="493"/>
      <c r="M104" s="278"/>
      <c r="N104" s="157"/>
      <c r="O104" s="304"/>
      <c r="P104" s="304"/>
    </row>
    <row r="105" spans="1:17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1:17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1:17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1:17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1:17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1:17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1:17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1:17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  <row r="235" spans="3:16" s="159" customFormat="1" x14ac:dyDescent="0.2">
      <c r="C235" s="657"/>
      <c r="D235" s="657"/>
      <c r="J235" s="276"/>
      <c r="M235" s="278"/>
      <c r="N235" s="157"/>
      <c r="O235" s="304"/>
      <c r="P235" s="304"/>
    </row>
    <row r="236" spans="3:16" s="159" customFormat="1" x14ac:dyDescent="0.2">
      <c r="C236" s="657"/>
      <c r="D236" s="657"/>
      <c r="J236" s="276"/>
      <c r="M236" s="278"/>
      <c r="N236" s="157"/>
      <c r="O236" s="304"/>
      <c r="P236" s="304"/>
    </row>
    <row r="237" spans="3:16" s="159" customFormat="1" x14ac:dyDescent="0.2">
      <c r="C237" s="657"/>
      <c r="D237" s="657"/>
      <c r="J237" s="276"/>
      <c r="M237" s="278"/>
      <c r="N237" s="157"/>
      <c r="O237" s="304"/>
      <c r="P237" s="304"/>
    </row>
    <row r="238" spans="3:16" s="159" customFormat="1" x14ac:dyDescent="0.2">
      <c r="C238" s="657"/>
      <c r="D238" s="657"/>
      <c r="J238" s="276"/>
      <c r="M238" s="278"/>
      <c r="N238" s="157"/>
      <c r="O238" s="304"/>
      <c r="P238" s="304"/>
    </row>
    <row r="239" spans="3:16" s="159" customFormat="1" x14ac:dyDescent="0.2">
      <c r="C239" s="657"/>
      <c r="D239" s="657"/>
      <c r="J239" s="276"/>
      <c r="M239" s="278"/>
      <c r="N239" s="157"/>
      <c r="O239" s="304"/>
      <c r="P239" s="304"/>
    </row>
    <row r="240" spans="3:16" s="159" customFormat="1" x14ac:dyDescent="0.2">
      <c r="C240" s="657"/>
      <c r="D240" s="657"/>
      <c r="J240" s="276"/>
      <c r="M240" s="278"/>
      <c r="N240" s="157"/>
      <c r="O240" s="304"/>
      <c r="P240" s="304"/>
    </row>
    <row r="241" spans="3:16" s="159" customFormat="1" x14ac:dyDescent="0.2">
      <c r="C241" s="657"/>
      <c r="D241" s="657"/>
      <c r="J241" s="276"/>
      <c r="M241" s="278"/>
      <c r="N241" s="157"/>
      <c r="O241" s="304"/>
      <c r="P241" s="304"/>
    </row>
    <row r="242" spans="3:16" s="159" customFormat="1" x14ac:dyDescent="0.2">
      <c r="C242" s="657"/>
      <c r="D242" s="657"/>
      <c r="J242" s="276"/>
      <c r="M242" s="278"/>
      <c r="N242" s="157"/>
      <c r="O242" s="304"/>
      <c r="P242" s="304"/>
    </row>
    <row r="243" spans="3:16" s="159" customFormat="1" x14ac:dyDescent="0.2">
      <c r="C243" s="657"/>
      <c r="D243" s="657"/>
      <c r="J243" s="276"/>
      <c r="M243" s="278"/>
      <c r="N243" s="157"/>
      <c r="O243" s="304"/>
      <c r="P243" s="304"/>
    </row>
    <row r="244" spans="3:16" s="159" customFormat="1" x14ac:dyDescent="0.2">
      <c r="C244" s="657"/>
      <c r="D244" s="657"/>
      <c r="J244" s="276"/>
      <c r="M244" s="278"/>
      <c r="N244" s="157"/>
      <c r="O244" s="304"/>
      <c r="P244" s="304"/>
    </row>
    <row r="245" spans="3:16" s="159" customFormat="1" x14ac:dyDescent="0.2">
      <c r="C245" s="657"/>
      <c r="D245" s="657"/>
      <c r="J245" s="276"/>
      <c r="M245" s="278"/>
      <c r="N245" s="157"/>
      <c r="O245" s="304"/>
      <c r="P245" s="304"/>
    </row>
    <row r="246" spans="3:16" s="159" customFormat="1" x14ac:dyDescent="0.2">
      <c r="C246" s="657"/>
      <c r="D246" s="657"/>
      <c r="J246" s="276"/>
      <c r="M246" s="278"/>
      <c r="N246" s="157"/>
      <c r="O246" s="304"/>
      <c r="P246" s="304"/>
    </row>
    <row r="247" spans="3:16" s="159" customFormat="1" x14ac:dyDescent="0.2">
      <c r="C247" s="657"/>
      <c r="D247" s="657"/>
      <c r="J247" s="276"/>
      <c r="M247" s="278"/>
      <c r="N247" s="157"/>
      <c r="O247" s="304"/>
      <c r="P247" s="304"/>
    </row>
    <row r="248" spans="3:16" s="159" customFormat="1" x14ac:dyDescent="0.2">
      <c r="C248" s="657"/>
      <c r="D248" s="657"/>
      <c r="J248" s="276"/>
      <c r="M248" s="278"/>
      <c r="N248" s="157"/>
      <c r="O248" s="304"/>
      <c r="P248" s="304"/>
    </row>
    <row r="249" spans="3:16" s="159" customFormat="1" x14ac:dyDescent="0.2">
      <c r="C249" s="657"/>
      <c r="D249" s="657"/>
      <c r="J249" s="276"/>
      <c r="M249" s="278"/>
      <c r="N249" s="157"/>
      <c r="O249" s="304"/>
      <c r="P249" s="304"/>
    </row>
    <row r="250" spans="3:16" s="159" customFormat="1" x14ac:dyDescent="0.2">
      <c r="C250" s="657"/>
      <c r="D250" s="657"/>
      <c r="J250" s="276"/>
      <c r="M250" s="278"/>
      <c r="N250" s="157"/>
      <c r="O250" s="304"/>
      <c r="P250" s="304"/>
    </row>
    <row r="251" spans="3:16" s="159" customFormat="1" x14ac:dyDescent="0.2">
      <c r="C251" s="657"/>
      <c r="D251" s="657"/>
      <c r="J251" s="276"/>
      <c r="M251" s="278"/>
      <c r="N251" s="157"/>
      <c r="O251" s="304"/>
      <c r="P251" s="304"/>
    </row>
    <row r="252" spans="3:16" s="159" customFormat="1" x14ac:dyDescent="0.2">
      <c r="C252" s="657"/>
      <c r="D252" s="657"/>
      <c r="J252" s="276"/>
      <c r="M252" s="278"/>
      <c r="N252" s="157"/>
      <c r="O252" s="304"/>
      <c r="P252" s="304"/>
    </row>
    <row r="253" spans="3:16" s="159" customFormat="1" x14ac:dyDescent="0.2">
      <c r="C253" s="657"/>
      <c r="D253" s="657"/>
      <c r="J253" s="276"/>
      <c r="M253" s="278"/>
      <c r="N253" s="157"/>
      <c r="O253" s="304"/>
      <c r="P253" s="304"/>
    </row>
    <row r="254" spans="3:16" s="159" customFormat="1" x14ac:dyDescent="0.2">
      <c r="C254" s="657"/>
      <c r="D254" s="657"/>
      <c r="J254" s="276"/>
      <c r="M254" s="278"/>
      <c r="N254" s="157"/>
      <c r="O254" s="304"/>
      <c r="P254" s="304"/>
    </row>
    <row r="255" spans="3:16" s="159" customFormat="1" x14ac:dyDescent="0.2">
      <c r="C255" s="657"/>
      <c r="D255" s="657"/>
      <c r="J255" s="276"/>
      <c r="M255" s="278"/>
      <c r="N255" s="157"/>
      <c r="O255" s="304"/>
      <c r="P255" s="304"/>
    </row>
    <row r="256" spans="3:16" s="159" customFormat="1" x14ac:dyDescent="0.2">
      <c r="C256" s="657"/>
      <c r="D256" s="657"/>
      <c r="J256" s="276"/>
      <c r="M256" s="278"/>
      <c r="N256" s="157"/>
      <c r="O256" s="304"/>
      <c r="P256" s="304"/>
    </row>
    <row r="257" spans="3:16" s="159" customFormat="1" x14ac:dyDescent="0.2">
      <c r="C257" s="657"/>
      <c r="D257" s="657"/>
      <c r="J257" s="276"/>
      <c r="M257" s="278"/>
      <c r="N257" s="157"/>
      <c r="O257" s="304"/>
      <c r="P257" s="304"/>
    </row>
    <row r="258" spans="3:16" s="159" customFormat="1" x14ac:dyDescent="0.2">
      <c r="C258" s="657"/>
      <c r="D258" s="657"/>
      <c r="J258" s="276"/>
      <c r="M258" s="278"/>
      <c r="N258" s="157"/>
      <c r="O258" s="304"/>
      <c r="P258" s="304"/>
    </row>
    <row r="259" spans="3:16" s="159" customFormat="1" x14ac:dyDescent="0.2">
      <c r="C259" s="657"/>
      <c r="D259" s="657"/>
      <c r="J259" s="276"/>
      <c r="M259" s="278"/>
      <c r="N259" s="157"/>
      <c r="O259" s="304"/>
      <c r="P259" s="304"/>
    </row>
    <row r="260" spans="3:16" s="159" customFormat="1" x14ac:dyDescent="0.2">
      <c r="C260" s="657"/>
      <c r="D260" s="657"/>
      <c r="J260" s="276"/>
      <c r="M260" s="278"/>
      <c r="N260" s="157"/>
      <c r="O260" s="304"/>
      <c r="P260" s="304"/>
    </row>
    <row r="261" spans="3:16" s="159" customFormat="1" x14ac:dyDescent="0.2">
      <c r="C261" s="657"/>
      <c r="D261" s="657"/>
      <c r="J261" s="276"/>
      <c r="M261" s="278"/>
      <c r="N261" s="157"/>
      <c r="O261" s="304"/>
      <c r="P261" s="304"/>
    </row>
    <row r="262" spans="3:16" s="159" customFormat="1" x14ac:dyDescent="0.2">
      <c r="C262" s="657"/>
      <c r="D262" s="657"/>
      <c r="J262" s="276"/>
      <c r="M262" s="278"/>
      <c r="N262" s="157"/>
      <c r="O262" s="304"/>
      <c r="P262" s="304"/>
    </row>
    <row r="263" spans="3:16" s="159" customFormat="1" x14ac:dyDescent="0.2">
      <c r="C263" s="657"/>
      <c r="D263" s="657"/>
      <c r="J263" s="276"/>
      <c r="M263" s="278"/>
      <c r="N263" s="157"/>
      <c r="O263" s="304"/>
      <c r="P263" s="304"/>
    </row>
    <row r="264" spans="3:16" s="159" customFormat="1" x14ac:dyDescent="0.2">
      <c r="C264" s="657"/>
      <c r="D264" s="657"/>
      <c r="J264" s="276"/>
      <c r="M264" s="278"/>
      <c r="N264" s="157"/>
      <c r="O264" s="304"/>
      <c r="P264" s="304"/>
    </row>
    <row r="265" spans="3:16" s="159" customFormat="1" x14ac:dyDescent="0.2">
      <c r="C265" s="657"/>
      <c r="D265" s="657"/>
      <c r="J265" s="276"/>
      <c r="M265" s="278"/>
      <c r="N265" s="157"/>
      <c r="O265" s="304"/>
      <c r="P265" s="304"/>
    </row>
    <row r="266" spans="3:16" s="159" customFormat="1" x14ac:dyDescent="0.2">
      <c r="C266" s="657"/>
      <c r="D266" s="657"/>
      <c r="J266" s="276"/>
      <c r="M266" s="278"/>
      <c r="N266" s="157"/>
      <c r="O266" s="304"/>
      <c r="P266" s="304"/>
    </row>
    <row r="267" spans="3:16" s="159" customFormat="1" x14ac:dyDescent="0.2">
      <c r="C267" s="657"/>
      <c r="D267" s="657"/>
      <c r="J267" s="276"/>
      <c r="M267" s="278"/>
      <c r="N267" s="157"/>
      <c r="O267" s="304"/>
      <c r="P267" s="304"/>
    </row>
    <row r="268" spans="3:16" s="159" customFormat="1" x14ac:dyDescent="0.2">
      <c r="C268" s="657"/>
      <c r="D268" s="657"/>
      <c r="J268" s="276"/>
      <c r="M268" s="278"/>
      <c r="N268" s="157"/>
      <c r="O268" s="304"/>
      <c r="P268" s="304"/>
    </row>
    <row r="269" spans="3:16" s="159" customFormat="1" x14ac:dyDescent="0.2">
      <c r="C269" s="657"/>
      <c r="D269" s="657"/>
      <c r="J269" s="276"/>
      <c r="M269" s="278"/>
      <c r="N269" s="157"/>
      <c r="O269" s="304"/>
      <c r="P269" s="304"/>
    </row>
    <row r="270" spans="3:16" s="159" customFormat="1" x14ac:dyDescent="0.2">
      <c r="C270" s="657"/>
      <c r="D270" s="657"/>
      <c r="J270" s="276"/>
      <c r="M270" s="278"/>
      <c r="N270" s="157"/>
      <c r="O270" s="304"/>
      <c r="P270" s="304"/>
    </row>
    <row r="271" spans="3:16" s="159" customFormat="1" x14ac:dyDescent="0.2">
      <c r="C271" s="657"/>
      <c r="D271" s="657"/>
      <c r="J271" s="276"/>
      <c r="M271" s="278"/>
      <c r="N271" s="157"/>
      <c r="O271" s="304"/>
      <c r="P271" s="304"/>
    </row>
    <row r="272" spans="3:16" s="159" customFormat="1" x14ac:dyDescent="0.2">
      <c r="C272" s="657"/>
      <c r="D272" s="657"/>
      <c r="J272" s="276"/>
      <c r="M272" s="278"/>
      <c r="N272" s="157"/>
      <c r="O272" s="304"/>
      <c r="P272" s="304"/>
    </row>
    <row r="273" spans="3:16" s="159" customFormat="1" x14ac:dyDescent="0.2">
      <c r="C273" s="657"/>
      <c r="D273" s="657"/>
      <c r="J273" s="276"/>
      <c r="M273" s="278"/>
      <c r="N273" s="157"/>
      <c r="O273" s="304"/>
      <c r="P273" s="304"/>
    </row>
    <row r="274" spans="3:16" s="159" customFormat="1" x14ac:dyDescent="0.2">
      <c r="C274" s="657"/>
      <c r="D274" s="657"/>
      <c r="J274" s="276"/>
      <c r="M274" s="278"/>
      <c r="N274" s="157"/>
      <c r="O274" s="304"/>
      <c r="P274" s="304"/>
    </row>
    <row r="275" spans="3:16" s="159" customFormat="1" x14ac:dyDescent="0.2">
      <c r="C275" s="657"/>
      <c r="D275" s="657"/>
      <c r="J275" s="276"/>
      <c r="M275" s="278"/>
      <c r="N275" s="157"/>
      <c r="O275" s="304"/>
      <c r="P275" s="304"/>
    </row>
    <row r="276" spans="3:16" s="159" customFormat="1" x14ac:dyDescent="0.2">
      <c r="C276" s="657"/>
      <c r="D276" s="657"/>
      <c r="J276" s="276"/>
      <c r="M276" s="278"/>
      <c r="N276" s="157"/>
      <c r="O276" s="304"/>
      <c r="P276" s="304"/>
    </row>
    <row r="277" spans="3:16" s="159" customFormat="1" x14ac:dyDescent="0.2">
      <c r="C277" s="657"/>
      <c r="D277" s="657"/>
      <c r="J277" s="276"/>
      <c r="M277" s="278"/>
      <c r="N277" s="157"/>
      <c r="O277" s="304"/>
      <c r="P277" s="304"/>
    </row>
    <row r="278" spans="3:16" s="159" customFormat="1" x14ac:dyDescent="0.2">
      <c r="C278" s="657"/>
      <c r="D278" s="657"/>
      <c r="J278" s="276"/>
      <c r="M278" s="278"/>
      <c r="N278" s="157"/>
      <c r="O278" s="304"/>
      <c r="P278" s="304"/>
    </row>
    <row r="279" spans="3:16" s="159" customFormat="1" x14ac:dyDescent="0.2">
      <c r="C279" s="657"/>
      <c r="D279" s="657"/>
      <c r="J279" s="276"/>
      <c r="M279" s="278"/>
      <c r="N279" s="157"/>
      <c r="O279" s="304"/>
      <c r="P279" s="304"/>
    </row>
    <row r="280" spans="3:16" s="159" customFormat="1" x14ac:dyDescent="0.2">
      <c r="C280" s="657"/>
      <c r="D280" s="657"/>
      <c r="J280" s="276"/>
      <c r="M280" s="278"/>
      <c r="N280" s="157"/>
      <c r="O280" s="304"/>
      <c r="P280" s="304"/>
    </row>
    <row r="281" spans="3:16" s="159" customFormat="1" x14ac:dyDescent="0.2">
      <c r="C281" s="657"/>
      <c r="D281" s="657"/>
      <c r="J281" s="276"/>
      <c r="M281" s="278"/>
      <c r="N281" s="157"/>
      <c r="O281" s="304"/>
      <c r="P281" s="304"/>
    </row>
    <row r="282" spans="3:16" s="159" customFormat="1" x14ac:dyDescent="0.2">
      <c r="C282" s="657"/>
      <c r="D282" s="657"/>
      <c r="J282" s="276"/>
      <c r="M282" s="278"/>
      <c r="N282" s="157"/>
      <c r="O282" s="304"/>
      <c r="P282" s="304"/>
    </row>
  </sheetData>
  <mergeCells count="60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19:F19"/>
    <mergeCell ref="G19:I19"/>
    <mergeCell ref="C26:F26"/>
    <mergeCell ref="G26:I26"/>
    <mergeCell ref="C32:F32"/>
    <mergeCell ref="G32:I32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5" fitToHeight="2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34"/>
  <sheetViews>
    <sheetView topLeftCell="A18" zoomScale="90" zoomScaleNormal="75" zoomScaleSheetLayoutView="90" zoomScalePageLayoutView="75" workbookViewId="0">
      <selection activeCell="A55" sqref="A55"/>
    </sheetView>
  </sheetViews>
  <sheetFormatPr defaultColWidth="9.140625" defaultRowHeight="12.75" x14ac:dyDescent="0.2"/>
  <cols>
    <col min="1" max="1" width="10.85546875" style="157" bestFit="1" customWidth="1"/>
    <col min="2" max="2" width="42.85546875" style="157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40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462</v>
      </c>
      <c r="B10" s="527" t="s">
        <v>463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x14ac:dyDescent="0.2">
      <c r="A11" s="372"/>
      <c r="B11" s="5"/>
      <c r="C11" s="373"/>
      <c r="D11" s="374" t="s">
        <v>21</v>
      </c>
      <c r="E11" s="255">
        <v>0</v>
      </c>
      <c r="F11" s="375">
        <f t="shared" ref="F11:F22" si="0">C11*E11</f>
        <v>0</v>
      </c>
      <c r="G11" s="531"/>
      <c r="H11" s="377">
        <v>0</v>
      </c>
      <c r="I11" s="375">
        <f t="shared" ref="I11:I22" si="1">G11*H11</f>
        <v>0</v>
      </c>
      <c r="J11" s="378"/>
      <c r="K11" s="532">
        <f t="shared" ref="K11:K22" si="2">F11+I11+J11</f>
        <v>0</v>
      </c>
      <c r="L11" s="380"/>
      <c r="M11" s="381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380"/>
      <c r="M17" s="381"/>
      <c r="N17" s="382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380"/>
      <c r="M18" s="381"/>
      <c r="N18" s="382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380"/>
      <c r="M19" s="381"/>
      <c r="N19" s="382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380"/>
      <c r="M20" s="381"/>
      <c r="N20" s="382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380"/>
      <c r="M21" s="381"/>
      <c r="N21" s="382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380"/>
      <c r="M22" s="381"/>
      <c r="N22" s="382"/>
      <c r="O22" s="383"/>
      <c r="P22" s="384"/>
      <c r="Q22" s="385"/>
    </row>
    <row r="23" spans="1:17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380"/>
      <c r="M23" s="381"/>
      <c r="N23" s="382"/>
      <c r="O23" s="383"/>
      <c r="P23" s="384"/>
      <c r="Q23" s="385"/>
    </row>
    <row r="24" spans="1:17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380"/>
      <c r="M24" s="381"/>
      <c r="N24" s="382"/>
      <c r="O24" s="383"/>
      <c r="P24" s="384"/>
      <c r="Q24" s="385"/>
    </row>
    <row r="25" spans="1:17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ht="16.5" thickBot="1" x14ac:dyDescent="0.3">
      <c r="A26" s="396"/>
      <c r="B26" s="397"/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x14ac:dyDescent="0.2">
      <c r="A27" s="407"/>
      <c r="B27" s="408"/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L27" s="380"/>
      <c r="M27" s="381"/>
      <c r="N27" s="382"/>
      <c r="O27" s="383"/>
      <c r="P27" s="384"/>
      <c r="Q27" s="385"/>
    </row>
    <row r="28" spans="1:17" s="159" customFormat="1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L28" s="380"/>
      <c r="M28" s="381"/>
      <c r="N28" s="382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380"/>
      <c r="M31" s="381"/>
      <c r="N31" s="382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380"/>
      <c r="M32" s="381"/>
      <c r="N32" s="382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380"/>
      <c r="M33" s="381"/>
      <c r="N33" s="382"/>
      <c r="O33" s="383"/>
      <c r="P33" s="384"/>
      <c r="Q33" s="385"/>
    </row>
    <row r="34" spans="1:17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380"/>
      <c r="M34" s="381"/>
      <c r="N34" s="382"/>
      <c r="O34" s="383"/>
      <c r="P34" s="384"/>
      <c r="Q34" s="385"/>
    </row>
    <row r="35" spans="1:17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159" customFormat="1" ht="16.5" thickBot="1" x14ac:dyDescent="0.3">
      <c r="A37" s="396"/>
      <c r="B37" s="397"/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257"/>
      <c r="N38" s="423"/>
      <c r="O38" s="412"/>
      <c r="P38" s="413"/>
      <c r="Q38" s="385"/>
    </row>
    <row r="39" spans="1:17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L39" s="380"/>
      <c r="M39" s="257"/>
      <c r="N39" s="423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L40" s="380"/>
      <c r="M40" s="257"/>
      <c r="N40" s="423"/>
      <c r="O40" s="412"/>
      <c r="P40" s="413"/>
      <c r="Q40" s="385"/>
    </row>
    <row r="41" spans="1:17" s="159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257"/>
      <c r="N41" s="423"/>
      <c r="O41" s="412"/>
      <c r="P41" s="413"/>
      <c r="Q41" s="385"/>
    </row>
    <row r="42" spans="1:17" s="159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L42" s="380"/>
      <c r="M42" s="257"/>
      <c r="N42" s="423"/>
      <c r="O42" s="412"/>
      <c r="P42" s="413"/>
      <c r="Q42" s="385"/>
    </row>
    <row r="43" spans="1:17" s="159" customFormat="1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L43" s="380"/>
      <c r="M43" s="257"/>
      <c r="N43" s="382"/>
      <c r="O43" s="383"/>
      <c r="P43" s="384"/>
      <c r="Q43" s="385"/>
    </row>
    <row r="44" spans="1:17" s="159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57"/>
      <c r="N44" s="395"/>
      <c r="O44" s="383"/>
      <c r="P44" s="384"/>
      <c r="Q44" s="385"/>
    </row>
    <row r="45" spans="1:17" s="159" customFormat="1" ht="16.5" thickBot="1" x14ac:dyDescent="0.3">
      <c r="A45" s="396"/>
      <c r="B45" s="397"/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06"/>
      <c r="O45" s="383"/>
      <c r="P45" s="413"/>
      <c r="Q45" s="385"/>
    </row>
    <row r="46" spans="1:17" s="159" customFormat="1" x14ac:dyDescent="0.2">
      <c r="A46" s="407"/>
      <c r="B46" s="408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382"/>
      <c r="O46" s="383"/>
      <c r="P46" s="384"/>
      <c r="Q46" s="385"/>
    </row>
    <row r="47" spans="1:17" s="159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380"/>
      <c r="M47" s="257"/>
      <c r="N47" s="382"/>
      <c r="O47" s="383"/>
      <c r="P47" s="384"/>
      <c r="Q47" s="385"/>
    </row>
    <row r="48" spans="1:17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380"/>
      <c r="M48" s="257"/>
      <c r="N48" s="382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380"/>
      <c r="M49" s="257"/>
      <c r="N49" s="382"/>
      <c r="O49" s="383"/>
      <c r="P49" s="384"/>
      <c r="Q49" s="385"/>
    </row>
    <row r="50" spans="1:17" s="159" customFormat="1" ht="13.5" thickBot="1" x14ac:dyDescent="0.25">
      <c r="A50" s="389"/>
      <c r="B50" s="414"/>
      <c r="C50" s="373"/>
      <c r="D50" s="374"/>
      <c r="E50" s="255"/>
      <c r="F50" s="375"/>
      <c r="G50" s="531"/>
      <c r="H50" s="377"/>
      <c r="I50" s="375"/>
      <c r="J50" s="378"/>
      <c r="K50" s="532"/>
      <c r="L50" s="380"/>
      <c r="M50" s="257"/>
      <c r="N50" s="382"/>
      <c r="O50" s="383"/>
      <c r="P50" s="384"/>
      <c r="Q50" s="385"/>
    </row>
    <row r="51" spans="1:17" s="159" customFormat="1" ht="14.25" thickTop="1" thickBot="1" x14ac:dyDescent="0.25">
      <c r="A51" s="472"/>
      <c r="B51" s="156"/>
      <c r="C51" s="473"/>
      <c r="D51" s="474"/>
      <c r="E51" s="475"/>
      <c r="F51" s="476"/>
      <c r="G51" s="636"/>
      <c r="H51" s="475"/>
      <c r="I51" s="476"/>
      <c r="J51" s="478" t="s">
        <v>30</v>
      </c>
      <c r="K51" s="637">
        <f>SUM(K46:K50)</f>
        <v>0</v>
      </c>
      <c r="L51" s="538"/>
      <c r="M51" s="257"/>
      <c r="N51" s="539"/>
      <c r="O51" s="542"/>
      <c r="P51" s="543"/>
      <c r="Q51" s="385"/>
    </row>
    <row r="52" spans="1:17" s="159" customFormat="1" ht="14.1" customHeight="1" thickTop="1" x14ac:dyDescent="0.25">
      <c r="A52" s="480"/>
      <c r="B52" s="481"/>
      <c r="C52" s="482"/>
      <c r="D52" s="482"/>
      <c r="E52" s="483"/>
      <c r="F52" s="978" t="s">
        <v>658</v>
      </c>
      <c r="G52" s="1001" t="s">
        <v>682</v>
      </c>
      <c r="H52" s="483"/>
      <c r="I52" s="971" t="s">
        <v>657</v>
      </c>
      <c r="J52" s="967" t="s">
        <v>683</v>
      </c>
      <c r="K52" s="1003" t="s">
        <v>31</v>
      </c>
      <c r="L52" s="655"/>
      <c r="M52" s="545"/>
      <c r="N52" s="546"/>
      <c r="O52" s="547"/>
      <c r="P52" s="547"/>
      <c r="Q52" s="548"/>
    </row>
    <row r="53" spans="1:17" s="159" customFormat="1" ht="15" x14ac:dyDescent="0.2">
      <c r="A53" s="484" t="s">
        <v>32</v>
      </c>
      <c r="B53" s="973" t="s">
        <v>675</v>
      </c>
      <c r="C53" s="485"/>
      <c r="D53" s="486"/>
      <c r="E53" s="486"/>
      <c r="F53" s="979"/>
      <c r="G53" s="1002"/>
      <c r="H53" s="487"/>
      <c r="I53" s="972"/>
      <c r="J53" s="968"/>
      <c r="K53" s="1004"/>
      <c r="M53" s="257"/>
      <c r="N53" s="157"/>
      <c r="O53" s="550"/>
      <c r="P53" s="550"/>
      <c r="Q53" s="551"/>
    </row>
    <row r="54" spans="1:17" s="159" customFormat="1" ht="15" x14ac:dyDescent="0.25">
      <c r="A54" s="828">
        <f>K54/E6</f>
        <v>0</v>
      </c>
      <c r="B54" s="973"/>
      <c r="C54" s="486"/>
      <c r="D54" s="486"/>
      <c r="E54" s="486"/>
      <c r="F54" s="961">
        <f>SUM(F46:F50,F38:F42,F27:F34,F11:F23)</f>
        <v>0</v>
      </c>
      <c r="G54" s="1006">
        <f>SUM(G46:G50,G38:G42,G27:G34,G11:G23)</f>
        <v>0</v>
      </c>
      <c r="H54" s="487"/>
      <c r="I54" s="961">
        <f>SUM(I46:I50,I38:I42,I27:I34,I11:I23)</f>
        <v>0</v>
      </c>
      <c r="J54" s="961">
        <f>SUM(J46:J50,J38:J42,J27:J34,J11:J23)</f>
        <v>0</v>
      </c>
      <c r="K54" s="969">
        <f>K51+K43+K35+K24</f>
        <v>0</v>
      </c>
      <c r="M54" s="257"/>
      <c r="N54" s="157"/>
      <c r="O54" s="551"/>
      <c r="P54" s="551"/>
      <c r="Q54" s="551"/>
    </row>
    <row r="55" spans="1:17" s="159" customFormat="1" ht="15" thickBot="1" x14ac:dyDescent="0.25">
      <c r="A55" s="484"/>
      <c r="B55" s="552"/>
      <c r="C55" s="490"/>
      <c r="D55" s="490"/>
      <c r="E55" s="490"/>
      <c r="F55" s="962"/>
      <c r="G55" s="1007"/>
      <c r="H55" s="490"/>
      <c r="I55" s="962"/>
      <c r="J55" s="962"/>
      <c r="K55" s="970"/>
      <c r="M55" s="257"/>
      <c r="N55" s="157"/>
      <c r="O55" s="550"/>
      <c r="P55" s="550"/>
      <c r="Q55" s="551"/>
    </row>
    <row r="56" spans="1:17" s="159" customFormat="1" ht="13.5" thickBot="1" x14ac:dyDescent="0.25">
      <c r="A56" s="491"/>
      <c r="B56" s="492"/>
      <c r="C56" s="492"/>
      <c r="D56" s="492"/>
      <c r="E56" s="492"/>
      <c r="F56" s="492"/>
      <c r="G56" s="492"/>
      <c r="H56" s="492"/>
      <c r="I56" s="492"/>
      <c r="J56" s="492"/>
      <c r="K56" s="492"/>
      <c r="M56" s="257"/>
      <c r="N56" s="157"/>
      <c r="O56" s="550"/>
      <c r="P56" s="550"/>
      <c r="Q56" s="551"/>
    </row>
    <row r="57" spans="1:17" s="159" customFormat="1" x14ac:dyDescent="0.2">
      <c r="C57" s="657"/>
      <c r="D57" s="657"/>
      <c r="J57" s="276"/>
      <c r="M57" s="257"/>
      <c r="N57" s="157"/>
      <c r="O57" s="550"/>
      <c r="P57" s="550"/>
      <c r="Q57" s="551"/>
    </row>
    <row r="58" spans="1:17" s="159" customFormat="1" x14ac:dyDescent="0.2">
      <c r="C58" s="657"/>
      <c r="D58" s="657"/>
      <c r="J58" s="276"/>
      <c r="M58" s="257"/>
      <c r="N58" s="157"/>
      <c r="O58" s="550"/>
      <c r="P58" s="550"/>
      <c r="Q58" s="551"/>
    </row>
    <row r="59" spans="1:17" s="159" customFormat="1" x14ac:dyDescent="0.2">
      <c r="C59" s="657"/>
      <c r="D59" s="657"/>
      <c r="J59" s="276"/>
      <c r="M59" s="257"/>
      <c r="N59" s="157"/>
      <c r="O59" s="550"/>
      <c r="P59" s="550"/>
      <c r="Q59" s="551"/>
    </row>
    <row r="60" spans="1:17" s="159" customFormat="1" x14ac:dyDescent="0.2">
      <c r="C60" s="657"/>
      <c r="D60" s="657"/>
      <c r="J60" s="276"/>
      <c r="M60" s="257"/>
      <c r="N60" s="157"/>
      <c r="O60" s="550"/>
      <c r="P60" s="550"/>
      <c r="Q60" s="551"/>
    </row>
    <row r="61" spans="1:17" s="159" customFormat="1" x14ac:dyDescent="0.2">
      <c r="C61" s="657"/>
      <c r="D61" s="657"/>
      <c r="J61" s="276"/>
      <c r="M61" s="257"/>
      <c r="N61" s="157"/>
      <c r="O61" s="550"/>
      <c r="P61" s="550"/>
      <c r="Q61" s="551"/>
    </row>
    <row r="62" spans="1:17" s="159" customFormat="1" x14ac:dyDescent="0.2">
      <c r="C62" s="657"/>
      <c r="D62" s="657"/>
      <c r="J62" s="276"/>
      <c r="M62" s="257"/>
      <c r="N62" s="157"/>
      <c r="O62" s="550"/>
      <c r="P62" s="550"/>
      <c r="Q62" s="551"/>
    </row>
    <row r="63" spans="1:17" s="159" customFormat="1" x14ac:dyDescent="0.2">
      <c r="C63" s="657"/>
      <c r="D63" s="657"/>
      <c r="J63" s="276"/>
      <c r="M63" s="257"/>
      <c r="N63" s="157"/>
      <c r="O63" s="550"/>
      <c r="P63" s="550"/>
      <c r="Q63" s="551"/>
    </row>
    <row r="64" spans="1:17" s="159" customFormat="1" x14ac:dyDescent="0.2">
      <c r="C64" s="657"/>
      <c r="D64" s="657"/>
      <c r="J64" s="276"/>
      <c r="M64" s="278"/>
      <c r="N64" s="157"/>
      <c r="O64" s="304"/>
      <c r="P64" s="304"/>
    </row>
    <row r="65" spans="3:16" s="159" customFormat="1" x14ac:dyDescent="0.2">
      <c r="C65" s="657"/>
      <c r="D65" s="657"/>
      <c r="J65" s="276"/>
      <c r="M65" s="278"/>
      <c r="N65" s="157"/>
      <c r="O65" s="304"/>
      <c r="P65" s="304"/>
    </row>
    <row r="66" spans="3:16" s="159" customFormat="1" x14ac:dyDescent="0.2">
      <c r="C66" s="657"/>
      <c r="D66" s="657"/>
      <c r="J66" s="276"/>
      <c r="M66" s="278"/>
      <c r="N66" s="157"/>
      <c r="O66" s="304"/>
      <c r="P66" s="304"/>
    </row>
    <row r="67" spans="3:16" s="159" customFormat="1" x14ac:dyDescent="0.2">
      <c r="C67" s="657"/>
      <c r="D67" s="657"/>
      <c r="J67" s="276"/>
      <c r="M67" s="278"/>
      <c r="N67" s="157"/>
      <c r="O67" s="304"/>
      <c r="P67" s="304"/>
    </row>
    <row r="68" spans="3:16" s="159" customFormat="1" x14ac:dyDescent="0.2">
      <c r="C68" s="657"/>
      <c r="D68" s="657"/>
      <c r="J68" s="276"/>
      <c r="M68" s="278"/>
      <c r="N68" s="157"/>
      <c r="O68" s="304"/>
      <c r="P68" s="304"/>
    </row>
    <row r="69" spans="3:16" s="159" customFormat="1" x14ac:dyDescent="0.2">
      <c r="C69" s="657"/>
      <c r="D69" s="657"/>
      <c r="J69" s="276"/>
      <c r="M69" s="278"/>
      <c r="N69" s="157"/>
      <c r="O69" s="304"/>
      <c r="P69" s="304"/>
    </row>
    <row r="70" spans="3:16" s="159" customFormat="1" x14ac:dyDescent="0.2">
      <c r="C70" s="657"/>
      <c r="D70" s="657"/>
      <c r="J70" s="276"/>
      <c r="M70" s="278"/>
      <c r="N70" s="157"/>
      <c r="O70" s="304"/>
      <c r="P70" s="304"/>
    </row>
    <row r="71" spans="3:16" s="159" customFormat="1" x14ac:dyDescent="0.2">
      <c r="C71" s="657"/>
      <c r="D71" s="657"/>
      <c r="J71" s="276"/>
      <c r="M71" s="278"/>
      <c r="N71" s="157"/>
      <c r="O71" s="304"/>
      <c r="P71" s="304"/>
    </row>
    <row r="72" spans="3:16" s="159" customFormat="1" x14ac:dyDescent="0.2">
      <c r="C72" s="657"/>
      <c r="D72" s="657"/>
      <c r="J72" s="276"/>
      <c r="M72" s="278"/>
      <c r="N72" s="157"/>
      <c r="O72" s="304"/>
      <c r="P72" s="304"/>
    </row>
    <row r="73" spans="3:16" s="159" customFormat="1" x14ac:dyDescent="0.2">
      <c r="C73" s="657"/>
      <c r="D73" s="657"/>
      <c r="J73" s="276"/>
      <c r="M73" s="278"/>
      <c r="N73" s="157"/>
      <c r="O73" s="304"/>
      <c r="P73" s="304"/>
    </row>
    <row r="74" spans="3:16" s="159" customFormat="1" x14ac:dyDescent="0.2">
      <c r="C74" s="657"/>
      <c r="D74" s="657"/>
      <c r="J74" s="276"/>
      <c r="M74" s="278"/>
      <c r="N74" s="157"/>
      <c r="O74" s="304"/>
      <c r="P74" s="304"/>
    </row>
    <row r="75" spans="3:16" s="159" customFormat="1" x14ac:dyDescent="0.2">
      <c r="C75" s="657"/>
      <c r="D75" s="657"/>
      <c r="J75" s="276"/>
      <c r="M75" s="278"/>
      <c r="N75" s="157"/>
      <c r="O75" s="304"/>
      <c r="P75" s="304"/>
    </row>
    <row r="76" spans="3:16" s="159" customFormat="1" x14ac:dyDescent="0.2">
      <c r="C76" s="657"/>
      <c r="D76" s="657"/>
      <c r="J76" s="276"/>
      <c r="M76" s="278"/>
      <c r="N76" s="157"/>
      <c r="O76" s="304"/>
      <c r="P76" s="304"/>
    </row>
    <row r="77" spans="3:16" s="159" customFormat="1" x14ac:dyDescent="0.2">
      <c r="C77" s="657"/>
      <c r="D77" s="657"/>
      <c r="J77" s="276"/>
      <c r="M77" s="278"/>
      <c r="N77" s="157"/>
      <c r="O77" s="304"/>
      <c r="P77" s="304"/>
    </row>
    <row r="78" spans="3:16" s="159" customFormat="1" x14ac:dyDescent="0.2">
      <c r="C78" s="657"/>
      <c r="D78" s="657"/>
      <c r="J78" s="276"/>
      <c r="M78" s="278"/>
      <c r="N78" s="157"/>
      <c r="O78" s="304"/>
      <c r="P78" s="304"/>
    </row>
    <row r="79" spans="3:16" s="159" customFormat="1" x14ac:dyDescent="0.2">
      <c r="C79" s="657"/>
      <c r="D79" s="657"/>
      <c r="J79" s="276"/>
      <c r="M79" s="278"/>
      <c r="N79" s="157"/>
      <c r="O79" s="304"/>
      <c r="P79" s="304"/>
    </row>
    <row r="80" spans="3:16" s="159" customFormat="1" x14ac:dyDescent="0.2">
      <c r="C80" s="657"/>
      <c r="D80" s="657"/>
      <c r="J80" s="276"/>
      <c r="M80" s="278"/>
      <c r="N80" s="157"/>
      <c r="O80" s="304"/>
      <c r="P80" s="304"/>
    </row>
    <row r="81" spans="3:16" s="159" customFormat="1" x14ac:dyDescent="0.2">
      <c r="C81" s="657"/>
      <c r="D81" s="657"/>
      <c r="J81" s="276"/>
      <c r="M81" s="278"/>
      <c r="N81" s="157"/>
      <c r="O81" s="304"/>
      <c r="P81" s="304"/>
    </row>
    <row r="82" spans="3:16" s="159" customFormat="1" x14ac:dyDescent="0.2">
      <c r="C82" s="657"/>
      <c r="D82" s="657"/>
      <c r="J82" s="276"/>
      <c r="M82" s="278"/>
      <c r="N82" s="157"/>
      <c r="O82" s="304"/>
      <c r="P82" s="304"/>
    </row>
    <row r="83" spans="3:16" s="159" customFormat="1" x14ac:dyDescent="0.2">
      <c r="C83" s="657"/>
      <c r="D83" s="657"/>
      <c r="J83" s="276"/>
      <c r="M83" s="278"/>
      <c r="N83" s="157"/>
      <c r="O83" s="304"/>
      <c r="P83" s="304"/>
    </row>
    <row r="84" spans="3:16" s="159" customFormat="1" x14ac:dyDescent="0.2">
      <c r="C84" s="657"/>
      <c r="D84" s="657"/>
      <c r="J84" s="276"/>
      <c r="M84" s="278"/>
      <c r="N84" s="157"/>
      <c r="O84" s="304"/>
      <c r="P84" s="304"/>
    </row>
    <row r="85" spans="3:16" s="159" customFormat="1" x14ac:dyDescent="0.2">
      <c r="C85" s="657"/>
      <c r="D85" s="657"/>
      <c r="J85" s="276"/>
      <c r="M85" s="278"/>
      <c r="N85" s="157"/>
      <c r="O85" s="304"/>
      <c r="P85" s="304"/>
    </row>
    <row r="86" spans="3:16" s="159" customFormat="1" x14ac:dyDescent="0.2">
      <c r="C86" s="657"/>
      <c r="D86" s="657"/>
      <c r="J86" s="276"/>
      <c r="M86" s="278"/>
      <c r="N86" s="157"/>
      <c r="O86" s="304"/>
      <c r="P86" s="304"/>
    </row>
    <row r="87" spans="3:16" s="159" customFormat="1" x14ac:dyDescent="0.2">
      <c r="C87" s="657"/>
      <c r="D87" s="657"/>
      <c r="J87" s="276"/>
      <c r="M87" s="278"/>
      <c r="N87" s="157"/>
      <c r="O87" s="304"/>
      <c r="P87" s="304"/>
    </row>
    <row r="88" spans="3:16" s="159" customFormat="1" x14ac:dyDescent="0.2">
      <c r="C88" s="657"/>
      <c r="D88" s="657"/>
      <c r="J88" s="276"/>
      <c r="M88" s="278"/>
      <c r="N88" s="157"/>
      <c r="O88" s="304"/>
      <c r="P88" s="304"/>
    </row>
    <row r="89" spans="3:16" s="159" customFormat="1" x14ac:dyDescent="0.2">
      <c r="C89" s="657"/>
      <c r="D89" s="657"/>
      <c r="J89" s="276"/>
      <c r="M89" s="278"/>
      <c r="N89" s="157"/>
      <c r="O89" s="304"/>
      <c r="P89" s="304"/>
    </row>
    <row r="90" spans="3:16" s="159" customFormat="1" x14ac:dyDescent="0.2">
      <c r="C90" s="657"/>
      <c r="D90" s="657"/>
      <c r="J90" s="276"/>
      <c r="M90" s="278"/>
      <c r="N90" s="157"/>
      <c r="O90" s="304"/>
      <c r="P90" s="304"/>
    </row>
    <row r="91" spans="3:16" s="159" customFormat="1" x14ac:dyDescent="0.2">
      <c r="C91" s="657"/>
      <c r="D91" s="657"/>
      <c r="J91" s="276"/>
      <c r="M91" s="278"/>
      <c r="N91" s="157"/>
      <c r="O91" s="304"/>
      <c r="P91" s="304"/>
    </row>
    <row r="92" spans="3:16" s="159" customFormat="1" x14ac:dyDescent="0.2">
      <c r="C92" s="657"/>
      <c r="D92" s="657"/>
      <c r="J92" s="276"/>
      <c r="M92" s="278"/>
      <c r="N92" s="157"/>
      <c r="O92" s="304"/>
      <c r="P92" s="304"/>
    </row>
    <row r="93" spans="3:16" s="159" customFormat="1" x14ac:dyDescent="0.2">
      <c r="C93" s="657"/>
      <c r="D93" s="657"/>
      <c r="J93" s="276"/>
      <c r="M93" s="278"/>
      <c r="N93" s="157"/>
      <c r="O93" s="304"/>
      <c r="P93" s="304"/>
    </row>
    <row r="94" spans="3:16" s="159" customFormat="1" x14ac:dyDescent="0.2">
      <c r="C94" s="657"/>
      <c r="D94" s="657"/>
      <c r="J94" s="276"/>
      <c r="M94" s="278"/>
      <c r="N94" s="157"/>
      <c r="O94" s="304"/>
      <c r="P94" s="304"/>
    </row>
    <row r="95" spans="3:16" s="159" customFormat="1" x14ac:dyDescent="0.2">
      <c r="C95" s="657"/>
      <c r="D95" s="657"/>
      <c r="J95" s="276"/>
      <c r="M95" s="278"/>
      <c r="N95" s="157"/>
      <c r="O95" s="304"/>
      <c r="P95" s="304"/>
    </row>
    <row r="96" spans="3:16" s="159" customFormat="1" x14ac:dyDescent="0.2">
      <c r="C96" s="657"/>
      <c r="D96" s="657"/>
      <c r="J96" s="276"/>
      <c r="M96" s="278"/>
      <c r="N96" s="157"/>
      <c r="O96" s="304"/>
      <c r="P96" s="304"/>
    </row>
    <row r="97" spans="3:16" s="159" customFormat="1" x14ac:dyDescent="0.2">
      <c r="C97" s="657"/>
      <c r="D97" s="657"/>
      <c r="J97" s="276"/>
      <c r="M97" s="278"/>
      <c r="N97" s="157"/>
      <c r="O97" s="304"/>
      <c r="P97" s="304"/>
    </row>
    <row r="98" spans="3:16" s="159" customFormat="1" x14ac:dyDescent="0.2">
      <c r="C98" s="657"/>
      <c r="D98" s="657"/>
      <c r="J98" s="276"/>
      <c r="M98" s="278"/>
      <c r="N98" s="157"/>
      <c r="O98" s="304"/>
      <c r="P98" s="304"/>
    </row>
    <row r="99" spans="3:16" s="159" customFormat="1" x14ac:dyDescent="0.2">
      <c r="C99" s="657"/>
      <c r="D99" s="657"/>
      <c r="J99" s="276"/>
      <c r="M99" s="278"/>
      <c r="N99" s="157"/>
      <c r="O99" s="304"/>
      <c r="P99" s="304"/>
    </row>
    <row r="100" spans="3:16" s="159" customFormat="1" x14ac:dyDescent="0.2">
      <c r="C100" s="657"/>
      <c r="D100" s="657"/>
      <c r="J100" s="276"/>
      <c r="M100" s="278"/>
      <c r="N100" s="157"/>
      <c r="O100" s="304"/>
      <c r="P100" s="304"/>
    </row>
    <row r="101" spans="3:16" s="159" customFormat="1" x14ac:dyDescent="0.2">
      <c r="C101" s="657"/>
      <c r="D101" s="657"/>
      <c r="J101" s="276"/>
      <c r="M101" s="278"/>
      <c r="N101" s="157"/>
      <c r="O101" s="304"/>
      <c r="P101" s="304"/>
    </row>
    <row r="102" spans="3:16" s="159" customFormat="1" x14ac:dyDescent="0.2">
      <c r="C102" s="657"/>
      <c r="D102" s="657"/>
      <c r="J102" s="276"/>
      <c r="M102" s="278"/>
      <c r="N102" s="157"/>
      <c r="O102" s="304"/>
      <c r="P102" s="304"/>
    </row>
    <row r="103" spans="3:16" s="159" customFormat="1" x14ac:dyDescent="0.2">
      <c r="C103" s="657"/>
      <c r="D103" s="657"/>
      <c r="J103" s="276"/>
      <c r="M103" s="278"/>
      <c r="N103" s="157"/>
      <c r="O103" s="304"/>
      <c r="P103" s="304"/>
    </row>
    <row r="104" spans="3:16" s="159" customFormat="1" x14ac:dyDescent="0.2">
      <c r="C104" s="657"/>
      <c r="D104" s="657"/>
      <c r="J104" s="276"/>
      <c r="M104" s="278"/>
      <c r="N104" s="157"/>
      <c r="O104" s="304"/>
      <c r="P104" s="304"/>
    </row>
    <row r="105" spans="3:16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3:16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3:16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3:16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3:16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3:16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3:16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3:16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B53:B54"/>
    <mergeCell ref="C36:F36"/>
    <mergeCell ref="G36:I36"/>
    <mergeCell ref="C44:F44"/>
    <mergeCell ref="G44:I44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8" fitToHeight="2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237"/>
  <sheetViews>
    <sheetView topLeftCell="A12" zoomScale="75" zoomScaleNormal="75" zoomScaleSheetLayoutView="90" zoomScalePageLayoutView="75" workbookViewId="0">
      <selection activeCell="M16" sqref="M16"/>
    </sheetView>
  </sheetViews>
  <sheetFormatPr defaultColWidth="9.140625" defaultRowHeight="15" x14ac:dyDescent="0.2"/>
  <cols>
    <col min="1" max="1" width="12.140625" style="196" bestFit="1" customWidth="1"/>
    <col min="2" max="2" width="65.42578125" style="196" bestFit="1" customWidth="1"/>
    <col min="3" max="4" width="5" style="805" customWidth="1"/>
    <col min="5" max="5" width="10.85546875" style="196" bestFit="1" customWidth="1"/>
    <col min="6" max="6" width="14.5703125" style="196" bestFit="1" customWidth="1"/>
    <col min="7" max="7" width="7" style="196" bestFit="1" customWidth="1"/>
    <col min="8" max="8" width="10.85546875" style="196" bestFit="1" customWidth="1"/>
    <col min="9" max="9" width="14.42578125" style="196" bestFit="1" customWidth="1"/>
    <col min="10" max="10" width="16.140625" style="686" bestFit="1" customWidth="1"/>
    <col min="11" max="11" width="14.42578125" style="196" bestFit="1" customWidth="1"/>
    <col min="12" max="12" width="17.85546875" style="194" bestFit="1" customWidth="1"/>
    <col min="13" max="13" width="16.140625" style="686" bestFit="1" customWidth="1"/>
    <col min="14" max="14" width="24.85546875" style="196" bestFit="1" customWidth="1"/>
    <col min="15" max="15" width="21.85546875" style="687" bestFit="1" customWidth="1"/>
    <col min="16" max="16" width="22" style="687" bestFit="1" customWidth="1"/>
    <col min="17" max="17" width="18.140625" style="196" bestFit="1" customWidth="1"/>
    <col min="18" max="16384" width="9.140625" style="196"/>
  </cols>
  <sheetData>
    <row r="1" spans="1:17" ht="16.5" thickBot="1" x14ac:dyDescent="0.3">
      <c r="A1" s="324"/>
      <c r="B1" s="685"/>
      <c r="C1" s="1140">
        <f>'Estimate Summary'!C1:H1</f>
        <v>0</v>
      </c>
      <c r="D1" s="1140"/>
      <c r="E1" s="1140"/>
      <c r="F1" s="1140"/>
      <c r="G1" s="1140"/>
      <c r="H1" s="1140"/>
      <c r="I1" s="1140"/>
      <c r="J1" s="1140"/>
      <c r="K1" s="1141"/>
    </row>
    <row r="2" spans="1:17" ht="16.5" thickBot="1" x14ac:dyDescent="0.3">
      <c r="A2" s="688"/>
      <c r="B2" s="689"/>
      <c r="C2" s="518"/>
      <c r="D2" s="1132"/>
      <c r="E2" s="1132"/>
      <c r="F2" s="1132"/>
      <c r="G2" s="518"/>
      <c r="H2" s="690"/>
      <c r="I2" s="691"/>
      <c r="J2" s="692"/>
      <c r="K2" s="693"/>
    </row>
    <row r="3" spans="1:17" ht="16.5" thickBot="1" x14ac:dyDescent="0.3">
      <c r="A3" s="1130"/>
      <c r="B3" s="1131"/>
      <c r="C3" s="518"/>
      <c r="D3" s="1132"/>
      <c r="E3" s="1132"/>
      <c r="F3" s="1132"/>
      <c r="G3" s="517"/>
      <c r="H3" s="694"/>
      <c r="I3" s="335"/>
      <c r="J3" s="335"/>
      <c r="K3" s="336"/>
      <c r="L3" s="1133"/>
      <c r="M3" s="1134"/>
      <c r="N3" s="1135"/>
      <c r="O3" s="1135"/>
      <c r="P3" s="1136"/>
    </row>
    <row r="4" spans="1:17" ht="16.5" thickBot="1" x14ac:dyDescent="0.3">
      <c r="A4" s="1130"/>
      <c r="B4" s="1131"/>
      <c r="C4" s="518"/>
      <c r="D4" s="1132"/>
      <c r="E4" s="1132"/>
      <c r="F4" s="1132"/>
      <c r="G4" s="695"/>
      <c r="H4" s="695"/>
      <c r="I4" s="691"/>
      <c r="J4" s="692"/>
      <c r="K4" s="693"/>
      <c r="L4" s="1133"/>
      <c r="M4" s="1134"/>
      <c r="N4" s="1135"/>
      <c r="O4" s="1135"/>
      <c r="P4" s="1136"/>
    </row>
    <row r="5" spans="1:17" ht="16.5" thickBot="1" x14ac:dyDescent="0.3">
      <c r="A5" s="696"/>
      <c r="B5" s="697"/>
      <c r="C5" s="518"/>
      <c r="D5" s="698"/>
      <c r="E5" s="699"/>
      <c r="F5" s="695"/>
      <c r="G5" s="1137" t="s">
        <v>10</v>
      </c>
      <c r="H5" s="1137"/>
      <c r="I5" s="1137"/>
      <c r="J5" s="1138" t="s">
        <v>71</v>
      </c>
      <c r="K5" s="1139"/>
      <c r="L5" s="1133"/>
      <c r="M5" s="1134"/>
      <c r="N5" s="1135"/>
      <c r="O5" s="1135"/>
      <c r="P5" s="1136"/>
    </row>
    <row r="6" spans="1:17" ht="16.5" thickBot="1" x14ac:dyDescent="0.3">
      <c r="A6" s="696"/>
      <c r="B6" s="697"/>
      <c r="C6" s="700"/>
      <c r="D6" s="701" t="str">
        <f>'Estimate Summary'!C11</f>
        <v>Area:</v>
      </c>
      <c r="E6" s="702">
        <f>'Estimate Summary'!D11</f>
        <v>1747</v>
      </c>
      <c r="F6" s="703" t="str">
        <f>'Estimate Summary'!E11</f>
        <v>Sq. Ft.</v>
      </c>
      <c r="G6" s="1137"/>
      <c r="H6" s="1137"/>
      <c r="I6" s="1137"/>
      <c r="J6" s="704">
        <f>'1'!J6</f>
        <v>13</v>
      </c>
      <c r="K6" s="693" t="s">
        <v>72</v>
      </c>
      <c r="L6" s="1133"/>
      <c r="M6" s="1134"/>
      <c r="N6" s="1135"/>
      <c r="O6" s="1135"/>
      <c r="P6" s="1136"/>
    </row>
    <row r="7" spans="1:17" ht="15.75" x14ac:dyDescent="0.25">
      <c r="A7" s="1121"/>
      <c r="B7" s="1122"/>
      <c r="C7" s="1122"/>
      <c r="D7" s="1122"/>
      <c r="E7" s="1122"/>
      <c r="F7" s="1122"/>
      <c r="G7" s="1122"/>
      <c r="H7" s="1122"/>
      <c r="I7" s="1122"/>
      <c r="J7" s="1122"/>
      <c r="K7" s="1123"/>
    </row>
    <row r="8" spans="1:17" ht="15.75" x14ac:dyDescent="0.25">
      <c r="A8" s="705"/>
      <c r="B8" s="706"/>
      <c r="C8" s="1124"/>
      <c r="D8" s="1124"/>
      <c r="E8" s="1124"/>
      <c r="F8" s="1124"/>
      <c r="G8" s="1125"/>
      <c r="H8" s="1125"/>
      <c r="I8" s="1125"/>
      <c r="J8" s="707"/>
      <c r="K8" s="708"/>
      <c r="L8" s="709" t="s">
        <v>94</v>
      </c>
      <c r="M8" s="710" t="s">
        <v>95</v>
      </c>
      <c r="N8" s="709" t="s">
        <v>98</v>
      </c>
      <c r="O8" s="711" t="s">
        <v>96</v>
      </c>
      <c r="P8" s="711" t="s">
        <v>97</v>
      </c>
    </row>
    <row r="9" spans="1:17" x14ac:dyDescent="0.2">
      <c r="A9" s="712"/>
      <c r="B9" s="713"/>
      <c r="C9" s="1126"/>
      <c r="D9" s="1126"/>
      <c r="E9" s="1127"/>
      <c r="F9" s="1127"/>
      <c r="G9" s="1128"/>
      <c r="H9" s="1127"/>
      <c r="I9" s="1127"/>
      <c r="J9" s="1127"/>
      <c r="K9" s="1129"/>
      <c r="L9" s="714"/>
      <c r="M9" s="715"/>
      <c r="N9" s="716"/>
      <c r="O9" s="717"/>
      <c r="P9" s="717"/>
    </row>
    <row r="10" spans="1:17" ht="16.5" thickBot="1" x14ac:dyDescent="0.25">
      <c r="A10" s="718"/>
      <c r="B10" s="719"/>
      <c r="C10" s="1126"/>
      <c r="D10" s="1126"/>
      <c r="E10" s="1127"/>
      <c r="F10" s="1127"/>
      <c r="G10" s="1128"/>
      <c r="H10" s="1127"/>
      <c r="I10" s="1127"/>
      <c r="J10" s="1127"/>
      <c r="K10" s="1129"/>
      <c r="L10" s="714"/>
      <c r="M10" s="715"/>
      <c r="N10" s="716"/>
      <c r="O10" s="717"/>
      <c r="P10" s="717"/>
    </row>
    <row r="11" spans="1:17" ht="17.25" thickTop="1" thickBot="1" x14ac:dyDescent="0.25">
      <c r="A11" s="720" t="s">
        <v>0</v>
      </c>
      <c r="B11" s="721" t="s">
        <v>1</v>
      </c>
      <c r="C11" s="1103" t="s">
        <v>656</v>
      </c>
      <c r="D11" s="1103"/>
      <c r="E11" s="1103"/>
      <c r="F11" s="1103"/>
      <c r="G11" s="1103" t="s">
        <v>34</v>
      </c>
      <c r="H11" s="1103"/>
      <c r="I11" s="1103"/>
      <c r="J11" s="722"/>
      <c r="K11" s="723"/>
      <c r="L11" s="1093" t="s">
        <v>780</v>
      </c>
      <c r="M11" s="1095" t="s">
        <v>781</v>
      </c>
      <c r="N11" s="1097" t="s">
        <v>782</v>
      </c>
      <c r="O11" s="1099"/>
      <c r="P11" s="1101"/>
      <c r="Q11" s="1091"/>
    </row>
    <row r="12" spans="1:17" ht="15.75" x14ac:dyDescent="0.25">
      <c r="A12" s="527" t="s">
        <v>465</v>
      </c>
      <c r="B12" s="527" t="s">
        <v>466</v>
      </c>
      <c r="C12" s="724" t="s">
        <v>19</v>
      </c>
      <c r="D12" s="725" t="s">
        <v>33</v>
      </c>
      <c r="E12" s="726" t="s">
        <v>35</v>
      </c>
      <c r="F12" s="727" t="s">
        <v>30</v>
      </c>
      <c r="G12" s="728" t="s">
        <v>14</v>
      </c>
      <c r="H12" s="726" t="s">
        <v>35</v>
      </c>
      <c r="I12" s="727" t="s">
        <v>30</v>
      </c>
      <c r="J12" s="729" t="s">
        <v>659</v>
      </c>
      <c r="K12" s="730" t="s">
        <v>38</v>
      </c>
      <c r="L12" s="1094"/>
      <c r="M12" s="1096"/>
      <c r="N12" s="1098"/>
      <c r="O12" s="1100"/>
      <c r="P12" s="1102"/>
      <c r="Q12" s="1092"/>
    </row>
    <row r="13" spans="1:17" ht="15.75" x14ac:dyDescent="0.25">
      <c r="A13" s="731" t="s">
        <v>680</v>
      </c>
      <c r="B13" s="15" t="s">
        <v>1056</v>
      </c>
      <c r="C13" s="869">
        <f>E6</f>
        <v>1747</v>
      </c>
      <c r="D13" s="734" t="s">
        <v>730</v>
      </c>
      <c r="E13" s="735">
        <f>27.63*1.1</f>
        <v>30.393000000000001</v>
      </c>
      <c r="F13" s="736">
        <v>0</v>
      </c>
      <c r="G13" s="737"/>
      <c r="H13" s="738">
        <v>0</v>
      </c>
      <c r="I13" s="736">
        <f t="shared" ref="I13:I24" si="0">G13*H13</f>
        <v>0</v>
      </c>
      <c r="J13" s="739">
        <f>M16</f>
        <v>80800</v>
      </c>
      <c r="K13" s="740">
        <f t="shared" ref="K13:K24" si="1">F13+I13+J13</f>
        <v>80800</v>
      </c>
      <c r="L13" s="741" t="s">
        <v>1077</v>
      </c>
      <c r="M13" s="686">
        <v>209700</v>
      </c>
      <c r="O13" s="744"/>
      <c r="P13" s="745"/>
      <c r="Q13" s="746"/>
    </row>
    <row r="14" spans="1:17" ht="15.75" x14ac:dyDescent="0.25">
      <c r="A14" s="731"/>
      <c r="B14" s="15"/>
      <c r="C14" s="733"/>
      <c r="D14" s="734" t="s">
        <v>21</v>
      </c>
      <c r="E14" s="735">
        <v>0</v>
      </c>
      <c r="F14" s="736">
        <f t="shared" ref="F14:F24" si="2">C14*E14</f>
        <v>0</v>
      </c>
      <c r="G14" s="737"/>
      <c r="H14" s="738">
        <v>0</v>
      </c>
      <c r="I14" s="736">
        <f t="shared" si="0"/>
        <v>0</v>
      </c>
      <c r="J14" s="739"/>
      <c r="K14" s="740">
        <f t="shared" si="1"/>
        <v>0</v>
      </c>
      <c r="L14" s="741" t="s">
        <v>1078</v>
      </c>
      <c r="O14" s="744"/>
      <c r="P14" s="745"/>
      <c r="Q14" s="746"/>
    </row>
    <row r="15" spans="1:17" ht="60.75" x14ac:dyDescent="0.25">
      <c r="A15" s="731"/>
      <c r="B15" s="15"/>
      <c r="C15" s="733"/>
      <c r="D15" s="734" t="s">
        <v>21</v>
      </c>
      <c r="E15" s="735">
        <v>0</v>
      </c>
      <c r="F15" s="736">
        <f t="shared" si="2"/>
        <v>0</v>
      </c>
      <c r="G15" s="737"/>
      <c r="H15" s="738">
        <v>0</v>
      </c>
      <c r="I15" s="736">
        <f t="shared" si="0"/>
        <v>0</v>
      </c>
      <c r="J15" s="739"/>
      <c r="K15" s="740">
        <f t="shared" si="1"/>
        <v>0</v>
      </c>
      <c r="L15" s="741" t="s">
        <v>1079</v>
      </c>
      <c r="M15" s="742">
        <v>89050</v>
      </c>
      <c r="N15" s="896" t="s">
        <v>1166</v>
      </c>
      <c r="O15" s="744"/>
      <c r="P15" s="745"/>
      <c r="Q15" s="746"/>
    </row>
    <row r="16" spans="1:17" ht="45.75" x14ac:dyDescent="0.25">
      <c r="A16" s="731"/>
      <c r="B16" s="15"/>
      <c r="C16" s="733"/>
      <c r="D16" s="734" t="s">
        <v>21</v>
      </c>
      <c r="E16" s="735">
        <v>0</v>
      </c>
      <c r="F16" s="736">
        <f t="shared" si="2"/>
        <v>0</v>
      </c>
      <c r="G16" s="737"/>
      <c r="H16" s="738">
        <v>0</v>
      </c>
      <c r="I16" s="736">
        <f t="shared" si="0"/>
        <v>0</v>
      </c>
      <c r="J16" s="739"/>
      <c r="K16" s="740">
        <f t="shared" si="1"/>
        <v>0</v>
      </c>
      <c r="L16" s="741" t="s">
        <v>1079</v>
      </c>
      <c r="M16" s="686">
        <v>80800</v>
      </c>
      <c r="N16" s="898" t="s">
        <v>1167</v>
      </c>
      <c r="O16" s="744"/>
      <c r="P16" s="745"/>
      <c r="Q16" s="746"/>
    </row>
    <row r="17" spans="1:17" ht="15.75" x14ac:dyDescent="0.25">
      <c r="A17" s="731"/>
      <c r="B17" s="387"/>
      <c r="C17" s="733"/>
      <c r="D17" s="734" t="s">
        <v>21</v>
      </c>
      <c r="E17" s="735">
        <v>0</v>
      </c>
      <c r="F17" s="736">
        <f t="shared" si="2"/>
        <v>0</v>
      </c>
      <c r="G17" s="737"/>
      <c r="H17" s="738">
        <v>0</v>
      </c>
      <c r="I17" s="736">
        <f t="shared" si="0"/>
        <v>0</v>
      </c>
      <c r="J17" s="739"/>
      <c r="K17" s="740">
        <f t="shared" si="1"/>
        <v>0</v>
      </c>
      <c r="L17" s="196" t="s">
        <v>1080</v>
      </c>
      <c r="M17" s="742"/>
      <c r="N17" s="743"/>
      <c r="O17" s="744"/>
      <c r="P17" s="745"/>
      <c r="Q17" s="746"/>
    </row>
    <row r="18" spans="1:17" ht="15.75" x14ac:dyDescent="0.25">
      <c r="A18" s="747"/>
      <c r="B18" s="15"/>
      <c r="C18" s="733"/>
      <c r="D18" s="734" t="s">
        <v>21</v>
      </c>
      <c r="E18" s="735">
        <v>0</v>
      </c>
      <c r="F18" s="736">
        <f t="shared" si="2"/>
        <v>0</v>
      </c>
      <c r="G18" s="737"/>
      <c r="H18" s="738">
        <v>0</v>
      </c>
      <c r="I18" s="736">
        <f t="shared" si="0"/>
        <v>0</v>
      </c>
      <c r="J18" s="739"/>
      <c r="K18" s="740">
        <f t="shared" si="1"/>
        <v>0</v>
      </c>
      <c r="L18" s="196" t="s">
        <v>1081</v>
      </c>
      <c r="M18" s="742"/>
      <c r="N18" s="743"/>
      <c r="O18" s="744"/>
      <c r="P18" s="745"/>
      <c r="Q18" s="746"/>
    </row>
    <row r="19" spans="1:17" ht="30.75" x14ac:dyDescent="0.25">
      <c r="A19" s="747"/>
      <c r="B19" s="15"/>
      <c r="C19" s="733"/>
      <c r="D19" s="734" t="s">
        <v>21</v>
      </c>
      <c r="E19" s="735">
        <v>0</v>
      </c>
      <c r="F19" s="736">
        <f t="shared" si="2"/>
        <v>0</v>
      </c>
      <c r="G19" s="737"/>
      <c r="H19" s="738">
        <v>0</v>
      </c>
      <c r="I19" s="736">
        <f t="shared" si="0"/>
        <v>0</v>
      </c>
      <c r="J19" s="739"/>
      <c r="K19" s="740">
        <f t="shared" si="1"/>
        <v>0</v>
      </c>
      <c r="L19" s="749" t="s">
        <v>1111</v>
      </c>
      <c r="M19" s="742">
        <v>113795.85</v>
      </c>
      <c r="N19" s="896" t="s">
        <v>1151</v>
      </c>
      <c r="O19" s="744"/>
      <c r="P19" s="745"/>
      <c r="Q19" s="746"/>
    </row>
    <row r="20" spans="1:17" ht="15.75" x14ac:dyDescent="0.25">
      <c r="A20" s="747"/>
      <c r="B20" s="15"/>
      <c r="C20" s="733"/>
      <c r="D20" s="734" t="s">
        <v>21</v>
      </c>
      <c r="E20" s="735">
        <v>0</v>
      </c>
      <c r="F20" s="736">
        <f t="shared" si="2"/>
        <v>0</v>
      </c>
      <c r="G20" s="737"/>
      <c r="H20" s="738">
        <v>0</v>
      </c>
      <c r="I20" s="736">
        <f t="shared" si="0"/>
        <v>0</v>
      </c>
      <c r="J20" s="739"/>
      <c r="K20" s="740">
        <f t="shared" si="1"/>
        <v>0</v>
      </c>
      <c r="M20" s="748"/>
      <c r="O20" s="744"/>
      <c r="P20" s="745"/>
      <c r="Q20" s="746"/>
    </row>
    <row r="21" spans="1:17" ht="15.75" x14ac:dyDescent="0.25">
      <c r="A21" s="747"/>
      <c r="B21" s="15"/>
      <c r="C21" s="733"/>
      <c r="D21" s="734" t="s">
        <v>21</v>
      </c>
      <c r="E21" s="735">
        <v>0</v>
      </c>
      <c r="F21" s="736">
        <f t="shared" si="2"/>
        <v>0</v>
      </c>
      <c r="G21" s="737"/>
      <c r="H21" s="738">
        <v>0</v>
      </c>
      <c r="I21" s="736">
        <f t="shared" si="0"/>
        <v>0</v>
      </c>
      <c r="J21" s="739"/>
      <c r="K21" s="740">
        <f t="shared" si="1"/>
        <v>0</v>
      </c>
      <c r="M21" s="750"/>
      <c r="N21" s="751"/>
      <c r="O21" s="744"/>
      <c r="P21" s="745"/>
      <c r="Q21" s="746"/>
    </row>
    <row r="22" spans="1:17" ht="15.75" x14ac:dyDescent="0.25">
      <c r="A22" s="747"/>
      <c r="B22" s="15"/>
      <c r="C22" s="733"/>
      <c r="D22" s="734" t="s">
        <v>21</v>
      </c>
      <c r="E22" s="735">
        <v>0</v>
      </c>
      <c r="F22" s="736">
        <f t="shared" si="2"/>
        <v>0</v>
      </c>
      <c r="G22" s="737"/>
      <c r="H22" s="738">
        <v>0</v>
      </c>
      <c r="I22" s="736">
        <f t="shared" si="0"/>
        <v>0</v>
      </c>
      <c r="J22" s="739"/>
      <c r="K22" s="740">
        <f t="shared" si="1"/>
        <v>0</v>
      </c>
      <c r="L22" s="752"/>
      <c r="M22" s="753"/>
      <c r="N22" s="754"/>
      <c r="O22" s="744"/>
      <c r="P22" s="745"/>
      <c r="Q22" s="746"/>
    </row>
    <row r="23" spans="1:17" ht="15.75" x14ac:dyDescent="0.25">
      <c r="A23" s="747"/>
      <c r="B23" s="15"/>
      <c r="C23" s="733"/>
      <c r="D23" s="734" t="s">
        <v>21</v>
      </c>
      <c r="E23" s="735">
        <v>0</v>
      </c>
      <c r="F23" s="736">
        <f t="shared" si="2"/>
        <v>0</v>
      </c>
      <c r="G23" s="737"/>
      <c r="H23" s="738">
        <v>0</v>
      </c>
      <c r="I23" s="736">
        <f t="shared" si="0"/>
        <v>0</v>
      </c>
      <c r="J23" s="739"/>
      <c r="K23" s="740">
        <f t="shared" si="1"/>
        <v>0</v>
      </c>
      <c r="L23" s="196"/>
      <c r="M23" s="748"/>
      <c r="O23" s="744"/>
      <c r="P23" s="745"/>
      <c r="Q23" s="746"/>
    </row>
    <row r="24" spans="1:17" ht="15.75" x14ac:dyDescent="0.25">
      <c r="A24" s="747"/>
      <c r="B24" s="15"/>
      <c r="C24" s="733"/>
      <c r="D24" s="734" t="s">
        <v>21</v>
      </c>
      <c r="E24" s="735">
        <v>0</v>
      </c>
      <c r="F24" s="736">
        <f t="shared" si="2"/>
        <v>0</v>
      </c>
      <c r="G24" s="737"/>
      <c r="H24" s="738">
        <v>0</v>
      </c>
      <c r="I24" s="736">
        <f t="shared" si="0"/>
        <v>0</v>
      </c>
      <c r="J24" s="739"/>
      <c r="K24" s="740">
        <f t="shared" si="1"/>
        <v>0</v>
      </c>
      <c r="L24" s="196"/>
      <c r="M24" s="748"/>
      <c r="O24" s="744"/>
      <c r="P24" s="745"/>
      <c r="Q24" s="746"/>
    </row>
    <row r="25" spans="1:17" ht="16.5" thickBot="1" x14ac:dyDescent="0.3">
      <c r="A25" s="755"/>
      <c r="B25" s="732"/>
      <c r="C25" s="756"/>
      <c r="D25" s="734"/>
      <c r="E25" s="735"/>
      <c r="F25" s="736"/>
      <c r="G25" s="737"/>
      <c r="H25" s="738"/>
      <c r="I25" s="736"/>
      <c r="J25" s="739"/>
      <c r="K25" s="740"/>
      <c r="L25" s="380" t="s">
        <v>1029</v>
      </c>
      <c r="M25" s="742">
        <v>64.81</v>
      </c>
      <c r="N25" s="743"/>
      <c r="O25" s="744"/>
      <c r="P25" s="745"/>
      <c r="Q25" s="746"/>
    </row>
    <row r="26" spans="1:17" ht="27" thickTop="1" x14ac:dyDescent="0.25">
      <c r="A26" s="755"/>
      <c r="B26" s="732"/>
      <c r="C26" s="756"/>
      <c r="D26" s="734"/>
      <c r="E26" s="735"/>
      <c r="F26" s="736"/>
      <c r="G26" s="737"/>
      <c r="H26" s="738"/>
      <c r="I26" s="736"/>
      <c r="J26" s="757" t="s">
        <v>30</v>
      </c>
      <c r="K26" s="758">
        <f>SUM(K13:K25)</f>
        <v>80800</v>
      </c>
      <c r="L26" s="866" t="s">
        <v>1053</v>
      </c>
      <c r="M26" s="742">
        <v>27.63</v>
      </c>
      <c r="N26" s="743" t="s">
        <v>1034</v>
      </c>
      <c r="O26" s="744"/>
      <c r="P26" s="745"/>
      <c r="Q26" s="746"/>
    </row>
    <row r="27" spans="1:17" ht="16.5" thickBot="1" x14ac:dyDescent="0.3">
      <c r="A27" s="720" t="s">
        <v>0</v>
      </c>
      <c r="B27" s="721" t="s">
        <v>1</v>
      </c>
      <c r="C27" s="1103" t="s">
        <v>656</v>
      </c>
      <c r="D27" s="1103"/>
      <c r="E27" s="1103"/>
      <c r="F27" s="1103"/>
      <c r="G27" s="1103" t="s">
        <v>34</v>
      </c>
      <c r="H27" s="1103"/>
      <c r="I27" s="1103"/>
      <c r="J27" s="722"/>
      <c r="K27" s="723"/>
      <c r="L27" s="759"/>
      <c r="M27" s="760"/>
      <c r="N27" s="761"/>
      <c r="O27" s="744"/>
      <c r="P27" s="745"/>
      <c r="Q27" s="746"/>
    </row>
    <row r="28" spans="1:17" ht="15.75" x14ac:dyDescent="0.25">
      <c r="A28" s="527" t="s">
        <v>467</v>
      </c>
      <c r="B28" s="527" t="s">
        <v>468</v>
      </c>
      <c r="C28" s="762" t="s">
        <v>19</v>
      </c>
      <c r="D28" s="763" t="s">
        <v>33</v>
      </c>
      <c r="E28" s="764" t="s">
        <v>35</v>
      </c>
      <c r="F28" s="765" t="s">
        <v>30</v>
      </c>
      <c r="G28" s="766" t="s">
        <v>14</v>
      </c>
      <c r="H28" s="764" t="s">
        <v>35</v>
      </c>
      <c r="I28" s="765" t="s">
        <v>30</v>
      </c>
      <c r="J28" s="729" t="s">
        <v>659</v>
      </c>
      <c r="K28" s="767" t="s">
        <v>38</v>
      </c>
      <c r="L28" s="768"/>
      <c r="M28" s="769"/>
      <c r="N28" s="770"/>
      <c r="O28" s="744"/>
      <c r="P28" s="745"/>
      <c r="Q28" s="746"/>
    </row>
    <row r="29" spans="1:17" s="194" customFormat="1" ht="15.75" x14ac:dyDescent="0.25">
      <c r="A29" s="196" t="s">
        <v>469</v>
      </c>
      <c r="B29" s="196" t="s">
        <v>470</v>
      </c>
      <c r="C29" s="733"/>
      <c r="D29" s="734" t="s">
        <v>21</v>
      </c>
      <c r="E29" s="735">
        <v>0</v>
      </c>
      <c r="F29" s="736">
        <f t="shared" ref="F29:F35" si="3">C29*E29</f>
        <v>0</v>
      </c>
      <c r="G29" s="737"/>
      <c r="H29" s="738">
        <v>0</v>
      </c>
      <c r="I29" s="736">
        <f t="shared" ref="I29:I35" si="4">G29*H29</f>
        <v>0</v>
      </c>
      <c r="J29" s="739"/>
      <c r="K29" s="740">
        <f t="shared" ref="K29:K35" si="5">F29+I29+J29</f>
        <v>0</v>
      </c>
      <c r="M29" s="771"/>
      <c r="O29" s="744"/>
      <c r="P29" s="745"/>
      <c r="Q29" s="746"/>
    </row>
    <row r="30" spans="1:17" s="194" customFormat="1" ht="15.75" x14ac:dyDescent="0.25">
      <c r="A30" s="196" t="s">
        <v>471</v>
      </c>
      <c r="B30" s="196" t="s">
        <v>472</v>
      </c>
      <c r="C30" s="733"/>
      <c r="D30" s="734" t="s">
        <v>21</v>
      </c>
      <c r="E30" s="735">
        <v>0</v>
      </c>
      <c r="F30" s="736">
        <f t="shared" si="3"/>
        <v>0</v>
      </c>
      <c r="G30" s="737"/>
      <c r="H30" s="738">
        <v>0</v>
      </c>
      <c r="I30" s="736">
        <f t="shared" si="4"/>
        <v>0</v>
      </c>
      <c r="J30" s="739"/>
      <c r="K30" s="740">
        <f t="shared" si="5"/>
        <v>0</v>
      </c>
      <c r="M30" s="686"/>
      <c r="N30" s="196"/>
      <c r="O30" s="744"/>
      <c r="P30" s="745"/>
      <c r="Q30" s="746"/>
    </row>
    <row r="31" spans="1:17" s="194" customFormat="1" ht="15.75" x14ac:dyDescent="0.25">
      <c r="A31" s="196" t="s">
        <v>473</v>
      </c>
      <c r="B31" s="196" t="s">
        <v>474</v>
      </c>
      <c r="C31" s="733"/>
      <c r="D31" s="734" t="s">
        <v>21</v>
      </c>
      <c r="E31" s="735">
        <v>0</v>
      </c>
      <c r="F31" s="736">
        <f t="shared" si="3"/>
        <v>0</v>
      </c>
      <c r="G31" s="737"/>
      <c r="H31" s="738">
        <v>0</v>
      </c>
      <c r="I31" s="736">
        <f t="shared" si="4"/>
        <v>0</v>
      </c>
      <c r="J31" s="739"/>
      <c r="K31" s="740">
        <f t="shared" si="5"/>
        <v>0</v>
      </c>
      <c r="L31" s="741"/>
      <c r="M31" s="742"/>
      <c r="N31" s="743"/>
      <c r="O31" s="744"/>
      <c r="P31" s="745"/>
      <c r="Q31" s="746"/>
    </row>
    <row r="32" spans="1:17" s="194" customFormat="1" ht="15.75" x14ac:dyDescent="0.25">
      <c r="A32" s="196" t="s">
        <v>475</v>
      </c>
      <c r="B32" s="196" t="s">
        <v>476</v>
      </c>
      <c r="C32" s="733"/>
      <c r="D32" s="734" t="s">
        <v>21</v>
      </c>
      <c r="E32" s="735">
        <v>0</v>
      </c>
      <c r="F32" s="736">
        <f t="shared" si="3"/>
        <v>0</v>
      </c>
      <c r="G32" s="737"/>
      <c r="H32" s="738">
        <v>0</v>
      </c>
      <c r="I32" s="736">
        <f t="shared" si="4"/>
        <v>0</v>
      </c>
      <c r="J32" s="739"/>
      <c r="K32" s="740">
        <f t="shared" si="5"/>
        <v>0</v>
      </c>
      <c r="L32" s="741"/>
      <c r="M32" s="742"/>
      <c r="N32" s="743"/>
      <c r="O32" s="744"/>
      <c r="P32" s="745"/>
      <c r="Q32" s="746"/>
    </row>
    <row r="33" spans="1:17" s="194" customFormat="1" ht="15.75" x14ac:dyDescent="0.25">
      <c r="A33" s="196" t="s">
        <v>478</v>
      </c>
      <c r="B33" s="196" t="s">
        <v>477</v>
      </c>
      <c r="C33" s="733"/>
      <c r="D33" s="734" t="s">
        <v>21</v>
      </c>
      <c r="E33" s="735">
        <v>0</v>
      </c>
      <c r="F33" s="736">
        <f t="shared" si="3"/>
        <v>0</v>
      </c>
      <c r="G33" s="737"/>
      <c r="H33" s="738">
        <v>0</v>
      </c>
      <c r="I33" s="736">
        <f t="shared" si="4"/>
        <v>0</v>
      </c>
      <c r="J33" s="739"/>
      <c r="K33" s="740">
        <f t="shared" si="5"/>
        <v>0</v>
      </c>
      <c r="L33" s="749"/>
      <c r="M33" s="750"/>
      <c r="N33" s="751"/>
      <c r="O33" s="744"/>
      <c r="P33" s="745"/>
      <c r="Q33" s="746"/>
    </row>
    <row r="34" spans="1:17" s="194" customFormat="1" ht="15.75" x14ac:dyDescent="0.25">
      <c r="A34" s="731"/>
      <c r="B34" s="15"/>
      <c r="C34" s="733"/>
      <c r="D34" s="734" t="s">
        <v>21</v>
      </c>
      <c r="E34" s="735">
        <v>0</v>
      </c>
      <c r="F34" s="736">
        <f t="shared" si="3"/>
        <v>0</v>
      </c>
      <c r="G34" s="737"/>
      <c r="H34" s="738">
        <v>0</v>
      </c>
      <c r="I34" s="736">
        <f t="shared" si="4"/>
        <v>0</v>
      </c>
      <c r="J34" s="739"/>
      <c r="K34" s="740">
        <f t="shared" si="5"/>
        <v>0</v>
      </c>
      <c r="M34" s="771"/>
      <c r="O34" s="744"/>
      <c r="P34" s="745"/>
      <c r="Q34" s="746"/>
    </row>
    <row r="35" spans="1:17" s="194" customFormat="1" ht="15.75" x14ac:dyDescent="0.25">
      <c r="A35" s="731"/>
      <c r="B35" s="15"/>
      <c r="C35" s="733"/>
      <c r="D35" s="734" t="s">
        <v>21</v>
      </c>
      <c r="E35" s="735">
        <v>0</v>
      </c>
      <c r="F35" s="736">
        <f t="shared" si="3"/>
        <v>0</v>
      </c>
      <c r="G35" s="737"/>
      <c r="H35" s="738">
        <v>0</v>
      </c>
      <c r="I35" s="736">
        <f t="shared" si="4"/>
        <v>0</v>
      </c>
      <c r="J35" s="739"/>
      <c r="K35" s="740">
        <f t="shared" si="5"/>
        <v>0</v>
      </c>
      <c r="M35" s="771"/>
      <c r="O35" s="744"/>
      <c r="P35" s="745"/>
      <c r="Q35" s="746"/>
    </row>
    <row r="36" spans="1:17" s="194" customFormat="1" ht="16.5" thickBot="1" x14ac:dyDescent="0.3">
      <c r="A36" s="731"/>
      <c r="B36" s="15"/>
      <c r="C36" s="756"/>
      <c r="D36" s="734"/>
      <c r="E36" s="735"/>
      <c r="F36" s="736"/>
      <c r="G36" s="737"/>
      <c r="H36" s="738"/>
      <c r="I36" s="736"/>
      <c r="J36" s="739"/>
      <c r="K36" s="772"/>
      <c r="L36" s="196"/>
      <c r="M36" s="748"/>
      <c r="N36" s="196"/>
      <c r="O36" s="744"/>
      <c r="P36" s="745"/>
      <c r="Q36" s="746"/>
    </row>
    <row r="37" spans="1:17" s="194" customFormat="1" ht="16.5" thickTop="1" x14ac:dyDescent="0.25">
      <c r="A37" s="755"/>
      <c r="B37" s="15"/>
      <c r="C37" s="756"/>
      <c r="D37" s="734"/>
      <c r="E37" s="735"/>
      <c r="F37" s="736"/>
      <c r="G37" s="737"/>
      <c r="H37" s="738"/>
      <c r="I37" s="736"/>
      <c r="J37" s="757" t="s">
        <v>30</v>
      </c>
      <c r="K37" s="758">
        <f>SUM(K29:K36)</f>
        <v>0</v>
      </c>
      <c r="L37" s="741"/>
      <c r="M37" s="742"/>
      <c r="N37" s="743"/>
      <c r="O37" s="744"/>
      <c r="P37" s="745"/>
      <c r="Q37" s="746"/>
    </row>
    <row r="38" spans="1:17" s="194" customFormat="1" ht="16.5" thickBot="1" x14ac:dyDescent="0.3">
      <c r="A38" s="720" t="s">
        <v>0</v>
      </c>
      <c r="B38" s="721" t="s">
        <v>1</v>
      </c>
      <c r="C38" s="1103" t="s">
        <v>656</v>
      </c>
      <c r="D38" s="1103"/>
      <c r="E38" s="1103"/>
      <c r="F38" s="1103"/>
      <c r="G38" s="1103" t="s">
        <v>34</v>
      </c>
      <c r="H38" s="1103"/>
      <c r="I38" s="1103"/>
      <c r="J38" s="722"/>
      <c r="K38" s="723"/>
      <c r="L38" s="759"/>
      <c r="M38" s="760"/>
      <c r="N38" s="761"/>
      <c r="O38" s="744"/>
      <c r="P38" s="745"/>
      <c r="Q38" s="746"/>
    </row>
    <row r="39" spans="1:17" s="194" customFormat="1" ht="15.75" x14ac:dyDescent="0.25">
      <c r="A39" s="527" t="s">
        <v>479</v>
      </c>
      <c r="B39" s="527" t="s">
        <v>80</v>
      </c>
      <c r="C39" s="762" t="s">
        <v>19</v>
      </c>
      <c r="D39" s="763" t="s">
        <v>33</v>
      </c>
      <c r="E39" s="764" t="s">
        <v>35</v>
      </c>
      <c r="F39" s="765" t="s">
        <v>30</v>
      </c>
      <c r="G39" s="766" t="s">
        <v>14</v>
      </c>
      <c r="H39" s="764" t="s">
        <v>35</v>
      </c>
      <c r="I39" s="765" t="s">
        <v>30</v>
      </c>
      <c r="J39" s="729" t="s">
        <v>659</v>
      </c>
      <c r="K39" s="767" t="s">
        <v>38</v>
      </c>
      <c r="L39" s="768"/>
      <c r="M39" s="773"/>
      <c r="N39" s="774"/>
      <c r="O39" s="775"/>
      <c r="P39" s="776"/>
      <c r="Q39" s="746"/>
    </row>
    <row r="40" spans="1:17" s="194" customFormat="1" ht="15.75" x14ac:dyDescent="0.25">
      <c r="A40" s="196" t="s">
        <v>480</v>
      </c>
      <c r="B40" s="196" t="s">
        <v>481</v>
      </c>
      <c r="C40" s="733"/>
      <c r="D40" s="734" t="s">
        <v>21</v>
      </c>
      <c r="E40" s="735">
        <v>0</v>
      </c>
      <c r="F40" s="736">
        <f>C40*E40</f>
        <v>0</v>
      </c>
      <c r="G40" s="737"/>
      <c r="H40" s="738">
        <v>0</v>
      </c>
      <c r="I40" s="736">
        <f>G40*H40</f>
        <v>0</v>
      </c>
      <c r="J40" s="739"/>
      <c r="K40" s="740">
        <f>F40+I40+J40</f>
        <v>0</v>
      </c>
      <c r="L40" s="741"/>
      <c r="M40" s="742"/>
      <c r="N40" s="743"/>
      <c r="O40" s="775"/>
      <c r="P40" s="776"/>
      <c r="Q40" s="746"/>
    </row>
    <row r="41" spans="1:17" s="194" customFormat="1" ht="15.75" x14ac:dyDescent="0.25">
      <c r="A41" s="196" t="s">
        <v>482</v>
      </c>
      <c r="B41" s="196" t="s">
        <v>484</v>
      </c>
      <c r="C41" s="733"/>
      <c r="D41" s="734" t="s">
        <v>21</v>
      </c>
      <c r="E41" s="735">
        <v>0</v>
      </c>
      <c r="F41" s="736">
        <f>C41*E41</f>
        <v>0</v>
      </c>
      <c r="G41" s="737"/>
      <c r="H41" s="738">
        <v>0</v>
      </c>
      <c r="I41" s="736">
        <f>G41*H41</f>
        <v>0</v>
      </c>
      <c r="J41" s="739"/>
      <c r="K41" s="740">
        <f>F41+I41+J41</f>
        <v>0</v>
      </c>
      <c r="M41" s="771"/>
      <c r="O41" s="775"/>
      <c r="P41" s="776"/>
      <c r="Q41" s="746"/>
    </row>
    <row r="42" spans="1:17" s="194" customFormat="1" ht="15.75" x14ac:dyDescent="0.25">
      <c r="A42" s="196" t="s">
        <v>485</v>
      </c>
      <c r="B42" s="196" t="s">
        <v>483</v>
      </c>
      <c r="C42" s="733"/>
      <c r="D42" s="734" t="s">
        <v>21</v>
      </c>
      <c r="E42" s="735">
        <v>0</v>
      </c>
      <c r="F42" s="736">
        <f>C42*E42</f>
        <v>0</v>
      </c>
      <c r="G42" s="737"/>
      <c r="H42" s="738">
        <v>0</v>
      </c>
      <c r="I42" s="736">
        <f>G42*H42</f>
        <v>0</v>
      </c>
      <c r="J42" s="739"/>
      <c r="K42" s="740">
        <f>F42+I42+J42</f>
        <v>0</v>
      </c>
      <c r="M42" s="771"/>
      <c r="O42" s="775"/>
      <c r="P42" s="776"/>
      <c r="Q42" s="746"/>
    </row>
    <row r="43" spans="1:17" s="194" customFormat="1" ht="15.75" x14ac:dyDescent="0.25">
      <c r="A43" s="755"/>
      <c r="B43" s="37"/>
      <c r="C43" s="756"/>
      <c r="D43" s="734"/>
      <c r="E43" s="735"/>
      <c r="F43" s="736"/>
      <c r="G43" s="737"/>
      <c r="H43" s="738"/>
      <c r="I43" s="736"/>
      <c r="J43" s="739"/>
      <c r="K43" s="772"/>
      <c r="L43" s="741"/>
      <c r="M43" s="742"/>
      <c r="N43" s="743"/>
      <c r="O43" s="775"/>
      <c r="P43" s="776"/>
      <c r="Q43" s="746"/>
    </row>
    <row r="44" spans="1:17" s="194" customFormat="1" ht="16.5" thickBot="1" x14ac:dyDescent="0.3">
      <c r="A44" s="755"/>
      <c r="B44" s="37"/>
      <c r="C44" s="756"/>
      <c r="D44" s="734"/>
      <c r="E44" s="735"/>
      <c r="F44" s="736"/>
      <c r="G44" s="737"/>
      <c r="H44" s="738"/>
      <c r="I44" s="736"/>
      <c r="J44" s="739"/>
      <c r="K44" s="772"/>
      <c r="M44" s="686"/>
      <c r="N44" s="196"/>
      <c r="O44" s="775"/>
      <c r="P44" s="776"/>
      <c r="Q44" s="746"/>
    </row>
    <row r="45" spans="1:17" s="194" customFormat="1" ht="16.5" thickTop="1" x14ac:dyDescent="0.25">
      <c r="A45" s="755"/>
      <c r="B45" s="37"/>
      <c r="C45" s="756"/>
      <c r="D45" s="734"/>
      <c r="E45" s="735"/>
      <c r="F45" s="736"/>
      <c r="G45" s="737"/>
      <c r="H45" s="738"/>
      <c r="I45" s="736"/>
      <c r="J45" s="757" t="s">
        <v>30</v>
      </c>
      <c r="K45" s="758">
        <f>SUM(K40:K44)</f>
        <v>0</v>
      </c>
      <c r="M45" s="686"/>
      <c r="N45" s="196"/>
      <c r="O45" s="744"/>
      <c r="P45" s="745"/>
      <c r="Q45" s="746"/>
    </row>
    <row r="46" spans="1:17" s="194" customFormat="1" ht="16.5" thickBot="1" x14ac:dyDescent="0.3">
      <c r="A46" s="720" t="s">
        <v>0</v>
      </c>
      <c r="B46" s="721" t="s">
        <v>1</v>
      </c>
      <c r="C46" s="1103" t="s">
        <v>656</v>
      </c>
      <c r="D46" s="1103"/>
      <c r="E46" s="1103"/>
      <c r="F46" s="1103"/>
      <c r="G46" s="1103" t="s">
        <v>34</v>
      </c>
      <c r="H46" s="1103"/>
      <c r="I46" s="1103"/>
      <c r="J46" s="722"/>
      <c r="K46" s="723"/>
      <c r="L46" s="759"/>
      <c r="M46" s="760"/>
      <c r="N46" s="761"/>
      <c r="O46" s="744"/>
      <c r="P46" s="745"/>
      <c r="Q46" s="746"/>
    </row>
    <row r="47" spans="1:17" s="194" customFormat="1" ht="16.5" thickBot="1" x14ac:dyDescent="0.3">
      <c r="A47" s="396"/>
      <c r="B47" s="397"/>
      <c r="C47" s="762" t="s">
        <v>19</v>
      </c>
      <c r="D47" s="763" t="s">
        <v>33</v>
      </c>
      <c r="E47" s="764" t="s">
        <v>35</v>
      </c>
      <c r="F47" s="765" t="s">
        <v>30</v>
      </c>
      <c r="G47" s="766" t="s">
        <v>14</v>
      </c>
      <c r="H47" s="764" t="s">
        <v>35</v>
      </c>
      <c r="I47" s="765" t="s">
        <v>30</v>
      </c>
      <c r="J47" s="729" t="s">
        <v>659</v>
      </c>
      <c r="K47" s="767" t="s">
        <v>38</v>
      </c>
      <c r="L47" s="768"/>
      <c r="M47" s="773"/>
      <c r="N47" s="774"/>
      <c r="O47" s="744"/>
      <c r="P47" s="776"/>
      <c r="Q47" s="746"/>
    </row>
    <row r="48" spans="1:17" s="194" customFormat="1" ht="15.75" x14ac:dyDescent="0.25">
      <c r="A48" s="777"/>
      <c r="B48" s="778"/>
      <c r="C48" s="733"/>
      <c r="D48" s="734" t="s">
        <v>21</v>
      </c>
      <c r="E48" s="735">
        <v>0</v>
      </c>
      <c r="F48" s="736">
        <f>C48*E48</f>
        <v>0</v>
      </c>
      <c r="G48" s="737"/>
      <c r="H48" s="738">
        <v>0</v>
      </c>
      <c r="I48" s="736">
        <f>G48*H48</f>
        <v>0</v>
      </c>
      <c r="J48" s="739"/>
      <c r="K48" s="740">
        <f>F48+I48+J48</f>
        <v>0</v>
      </c>
      <c r="L48" s="749"/>
      <c r="M48" s="779"/>
      <c r="N48" s="780"/>
      <c r="O48" s="744"/>
      <c r="P48" s="745"/>
      <c r="Q48" s="746"/>
    </row>
    <row r="49" spans="1:17" s="194" customFormat="1" ht="15.75" x14ac:dyDescent="0.25">
      <c r="A49" s="731"/>
      <c r="B49" s="15"/>
      <c r="C49" s="733"/>
      <c r="D49" s="734" t="s">
        <v>21</v>
      </c>
      <c r="E49" s="735">
        <v>0</v>
      </c>
      <c r="F49" s="736">
        <f>C49*E49</f>
        <v>0</v>
      </c>
      <c r="G49" s="737"/>
      <c r="H49" s="738">
        <v>0</v>
      </c>
      <c r="I49" s="736">
        <f>G49*H49</f>
        <v>0</v>
      </c>
      <c r="J49" s="739"/>
      <c r="K49" s="781">
        <f>F49+I49+J49</f>
        <v>0</v>
      </c>
      <c r="L49" s="782"/>
      <c r="M49" s="779"/>
      <c r="N49" s="780"/>
      <c r="O49" s="783"/>
      <c r="P49" s="745"/>
      <c r="Q49" s="746"/>
    </row>
    <row r="50" spans="1:17" s="194" customFormat="1" ht="15.75" x14ac:dyDescent="0.25">
      <c r="A50" s="731"/>
      <c r="B50" s="15"/>
      <c r="C50" s="733"/>
      <c r="D50" s="734" t="s">
        <v>21</v>
      </c>
      <c r="E50" s="735">
        <v>0</v>
      </c>
      <c r="F50" s="736">
        <f>C50*E50</f>
        <v>0</v>
      </c>
      <c r="G50" s="737"/>
      <c r="H50" s="738">
        <v>0</v>
      </c>
      <c r="I50" s="736">
        <f>G50*H50</f>
        <v>0</v>
      </c>
      <c r="J50" s="739"/>
      <c r="K50" s="781">
        <f>F50+I50+J50</f>
        <v>0</v>
      </c>
      <c r="L50" s="782"/>
      <c r="M50" s="779"/>
      <c r="N50" s="780"/>
      <c r="O50" s="783"/>
      <c r="P50" s="745"/>
      <c r="Q50" s="746"/>
    </row>
    <row r="51" spans="1:17" s="194" customFormat="1" ht="15.75" x14ac:dyDescent="0.25">
      <c r="A51" s="731"/>
      <c r="B51" s="15"/>
      <c r="C51" s="733"/>
      <c r="D51" s="734" t="s">
        <v>21</v>
      </c>
      <c r="E51" s="735">
        <v>0</v>
      </c>
      <c r="F51" s="736">
        <f>C51*E51</f>
        <v>0</v>
      </c>
      <c r="G51" s="737"/>
      <c r="H51" s="738">
        <v>0</v>
      </c>
      <c r="I51" s="736">
        <f>G51*H51</f>
        <v>0</v>
      </c>
      <c r="J51" s="739"/>
      <c r="K51" s="740">
        <f>F51+I51+J51</f>
        <v>0</v>
      </c>
      <c r="L51" s="784"/>
      <c r="M51" s="779"/>
      <c r="N51" s="780"/>
      <c r="O51" s="744"/>
      <c r="P51" s="745"/>
      <c r="Q51" s="746"/>
    </row>
    <row r="52" spans="1:17" s="194" customFormat="1" ht="15.75" x14ac:dyDescent="0.25">
      <c r="A52" s="731"/>
      <c r="B52" s="15"/>
      <c r="C52" s="733"/>
      <c r="D52" s="734" t="s">
        <v>21</v>
      </c>
      <c r="E52" s="735">
        <v>0</v>
      </c>
      <c r="F52" s="736">
        <f>C52*E52</f>
        <v>0</v>
      </c>
      <c r="G52" s="737"/>
      <c r="H52" s="738">
        <v>0</v>
      </c>
      <c r="I52" s="736">
        <f>G52*H52</f>
        <v>0</v>
      </c>
      <c r="J52" s="739"/>
      <c r="K52" s="740">
        <f>F52+I52+J52</f>
        <v>0</v>
      </c>
      <c r="L52" s="741"/>
      <c r="M52" s="779"/>
      <c r="N52" s="780"/>
      <c r="O52" s="744"/>
      <c r="P52" s="745"/>
      <c r="Q52" s="746"/>
    </row>
    <row r="53" spans="1:17" s="194" customFormat="1" ht="16.5" thickBot="1" x14ac:dyDescent="0.3">
      <c r="A53" s="755"/>
      <c r="B53" s="37"/>
      <c r="C53" s="756"/>
      <c r="D53" s="734"/>
      <c r="E53" s="735"/>
      <c r="F53" s="736"/>
      <c r="G53" s="737"/>
      <c r="H53" s="738"/>
      <c r="I53" s="736"/>
      <c r="J53" s="739"/>
      <c r="K53" s="772"/>
      <c r="L53" s="741"/>
      <c r="M53" s="779"/>
      <c r="N53" s="743"/>
      <c r="O53" s="744"/>
      <c r="P53" s="745"/>
      <c r="Q53" s="746"/>
    </row>
    <row r="54" spans="1:17" s="194" customFormat="1" ht="17.25" thickTop="1" thickBot="1" x14ac:dyDescent="0.3">
      <c r="A54" s="755"/>
      <c r="B54" s="37"/>
      <c r="C54" s="756"/>
      <c r="D54" s="734"/>
      <c r="E54" s="735"/>
      <c r="F54" s="736"/>
      <c r="G54" s="737"/>
      <c r="H54" s="738"/>
      <c r="I54" s="736"/>
      <c r="J54" s="757" t="s">
        <v>30</v>
      </c>
      <c r="K54" s="758">
        <f>SUM(K48:K53)</f>
        <v>0</v>
      </c>
      <c r="L54" s="785"/>
      <c r="M54" s="786"/>
      <c r="N54" s="787"/>
      <c r="O54" s="788"/>
      <c r="P54" s="789"/>
      <c r="Q54" s="790"/>
    </row>
    <row r="55" spans="1:17" s="194" customFormat="1" ht="14.1" customHeight="1" thickTop="1" x14ac:dyDescent="0.25">
      <c r="A55" s="791"/>
      <c r="B55" s="792"/>
      <c r="C55" s="793"/>
      <c r="D55" s="793"/>
      <c r="E55" s="794"/>
      <c r="F55" s="1107" t="s">
        <v>658</v>
      </c>
      <c r="G55" s="1109" t="s">
        <v>682</v>
      </c>
      <c r="H55" s="794"/>
      <c r="I55" s="1111" t="s">
        <v>657</v>
      </c>
      <c r="J55" s="1113" t="s">
        <v>683</v>
      </c>
      <c r="K55" s="1115" t="s">
        <v>31</v>
      </c>
      <c r="M55" s="771"/>
    </row>
    <row r="56" spans="1:17" s="194" customFormat="1" ht="15.75" x14ac:dyDescent="0.2">
      <c r="A56" s="795" t="s">
        <v>32</v>
      </c>
      <c r="B56" s="1104" t="s">
        <v>674</v>
      </c>
      <c r="C56" s="796"/>
      <c r="D56" s="797"/>
      <c r="E56" s="797"/>
      <c r="F56" s="1108"/>
      <c r="G56" s="1110"/>
      <c r="H56" s="798"/>
      <c r="I56" s="1112"/>
      <c r="J56" s="1114"/>
      <c r="K56" s="1116"/>
      <c r="M56" s="771"/>
    </row>
    <row r="57" spans="1:17" s="194" customFormat="1" ht="15.75" x14ac:dyDescent="0.25">
      <c r="A57" s="831">
        <f>K57/E6</f>
        <v>46.250715512306812</v>
      </c>
      <c r="B57" s="1104"/>
      <c r="C57" s="797"/>
      <c r="D57" s="797"/>
      <c r="E57" s="797"/>
      <c r="F57" s="1117">
        <f>SUM(F48:F53,F40:F44,F29:F36,F13:F25)</f>
        <v>0</v>
      </c>
      <c r="G57" s="1119">
        <f>SUM(G48:G53,G40:G44,G29:G36,G13:G25)</f>
        <v>0</v>
      </c>
      <c r="H57" s="798"/>
      <c r="I57" s="1117">
        <f>SUM(I48:I53,I40:I44,I29:I36,I13:I25)</f>
        <v>0</v>
      </c>
      <c r="J57" s="1117">
        <f>SUM(J48:J53,J40:J44,J29:J36,J13:J25)</f>
        <v>80800</v>
      </c>
      <c r="K57" s="1105">
        <f>SUM(K54,K45,K37,K26)</f>
        <v>80800</v>
      </c>
      <c r="M57" s="771"/>
    </row>
    <row r="58" spans="1:17" s="194" customFormat="1" ht="15.75" thickBot="1" x14ac:dyDescent="0.25">
      <c r="A58" s="795"/>
      <c r="B58" s="799"/>
      <c r="C58" s="800"/>
      <c r="D58" s="800"/>
      <c r="E58" s="800"/>
      <c r="F58" s="1118"/>
      <c r="G58" s="1120"/>
      <c r="H58" s="800"/>
      <c r="I58" s="1118"/>
      <c r="J58" s="1118"/>
      <c r="K58" s="1106"/>
      <c r="M58" s="686"/>
      <c r="N58" s="196"/>
      <c r="O58" s="687"/>
      <c r="P58" s="687"/>
    </row>
    <row r="59" spans="1:17" s="194" customFormat="1" ht="15.75" thickBot="1" x14ac:dyDescent="0.25">
      <c r="A59" s="801"/>
      <c r="B59" s="802"/>
      <c r="C59" s="802"/>
      <c r="D59" s="802"/>
      <c r="E59" s="802"/>
      <c r="F59" s="802"/>
      <c r="G59" s="802"/>
      <c r="H59" s="802"/>
      <c r="I59" s="802"/>
      <c r="J59" s="802"/>
      <c r="K59" s="803"/>
      <c r="M59" s="686"/>
      <c r="N59" s="196"/>
      <c r="O59" s="687"/>
      <c r="P59" s="687"/>
    </row>
    <row r="60" spans="1:17" s="194" customFormat="1" x14ac:dyDescent="0.2">
      <c r="C60" s="804"/>
      <c r="D60" s="804"/>
      <c r="J60" s="771"/>
      <c r="M60" s="686"/>
      <c r="N60" s="196"/>
      <c r="O60" s="687"/>
      <c r="P60" s="687"/>
    </row>
    <row r="61" spans="1:17" s="194" customFormat="1" x14ac:dyDescent="0.2">
      <c r="C61" s="804"/>
      <c r="D61" s="804"/>
      <c r="J61" s="771"/>
      <c r="M61" s="686"/>
      <c r="N61" s="196"/>
      <c r="O61" s="687"/>
      <c r="P61" s="687"/>
    </row>
    <row r="62" spans="1:17" s="194" customFormat="1" x14ac:dyDescent="0.2">
      <c r="C62" s="804"/>
      <c r="D62" s="804"/>
      <c r="J62" s="771"/>
      <c r="M62" s="686"/>
      <c r="N62" s="196"/>
      <c r="O62" s="687"/>
      <c r="P62" s="687"/>
    </row>
    <row r="63" spans="1:17" s="194" customFormat="1" x14ac:dyDescent="0.2">
      <c r="C63" s="804"/>
      <c r="D63" s="804"/>
      <c r="J63" s="771"/>
      <c r="M63" s="686"/>
      <c r="N63" s="196"/>
      <c r="O63" s="687"/>
      <c r="P63" s="687"/>
    </row>
    <row r="64" spans="1:17" s="194" customFormat="1" x14ac:dyDescent="0.2">
      <c r="C64" s="804"/>
      <c r="D64" s="804"/>
      <c r="J64" s="771"/>
      <c r="M64" s="686"/>
      <c r="N64" s="196"/>
      <c r="O64" s="687"/>
      <c r="P64" s="687"/>
    </row>
    <row r="65" spans="3:16" s="194" customFormat="1" x14ac:dyDescent="0.2">
      <c r="C65" s="804"/>
      <c r="D65" s="804"/>
      <c r="J65" s="771"/>
      <c r="M65" s="686"/>
      <c r="N65" s="196"/>
      <c r="O65" s="687"/>
      <c r="P65" s="687"/>
    </row>
    <row r="66" spans="3:16" s="194" customFormat="1" x14ac:dyDescent="0.2">
      <c r="C66" s="804"/>
      <c r="D66" s="804"/>
      <c r="J66" s="771"/>
      <c r="M66" s="686"/>
      <c r="N66" s="196"/>
      <c r="O66" s="687"/>
      <c r="P66" s="687"/>
    </row>
    <row r="67" spans="3:16" s="194" customFormat="1" x14ac:dyDescent="0.2">
      <c r="C67" s="804"/>
      <c r="D67" s="804"/>
      <c r="J67" s="771"/>
      <c r="M67" s="686"/>
      <c r="N67" s="196"/>
      <c r="O67" s="687"/>
      <c r="P67" s="687"/>
    </row>
    <row r="68" spans="3:16" s="194" customFormat="1" x14ac:dyDescent="0.2">
      <c r="C68" s="804"/>
      <c r="D68" s="804"/>
      <c r="J68" s="771"/>
      <c r="M68" s="686"/>
      <c r="N68" s="196"/>
      <c r="O68" s="687"/>
      <c r="P68" s="687"/>
    </row>
    <row r="69" spans="3:16" s="194" customFormat="1" x14ac:dyDescent="0.2">
      <c r="C69" s="804"/>
      <c r="D69" s="804"/>
      <c r="J69" s="771"/>
      <c r="M69" s="686"/>
      <c r="N69" s="196"/>
      <c r="O69" s="687"/>
      <c r="P69" s="687"/>
    </row>
    <row r="70" spans="3:16" s="194" customFormat="1" x14ac:dyDescent="0.2">
      <c r="C70" s="804"/>
      <c r="D70" s="804"/>
      <c r="J70" s="771"/>
      <c r="M70" s="686"/>
      <c r="N70" s="196"/>
      <c r="O70" s="687"/>
      <c r="P70" s="687"/>
    </row>
    <row r="71" spans="3:16" s="194" customFormat="1" x14ac:dyDescent="0.2">
      <c r="C71" s="804"/>
      <c r="D71" s="804"/>
      <c r="J71" s="771"/>
      <c r="M71" s="686"/>
      <c r="N71" s="196"/>
      <c r="O71" s="687"/>
      <c r="P71" s="687"/>
    </row>
    <row r="72" spans="3:16" s="194" customFormat="1" x14ac:dyDescent="0.2">
      <c r="C72" s="804"/>
      <c r="D72" s="804"/>
      <c r="J72" s="771"/>
      <c r="M72" s="686"/>
      <c r="N72" s="196"/>
      <c r="O72" s="687"/>
      <c r="P72" s="687"/>
    </row>
    <row r="73" spans="3:16" s="194" customFormat="1" x14ac:dyDescent="0.2">
      <c r="C73" s="804"/>
      <c r="D73" s="804"/>
      <c r="J73" s="771"/>
      <c r="M73" s="686"/>
      <c r="N73" s="196"/>
      <c r="O73" s="687"/>
      <c r="P73" s="687"/>
    </row>
    <row r="74" spans="3:16" s="194" customFormat="1" x14ac:dyDescent="0.2">
      <c r="C74" s="804"/>
      <c r="D74" s="804"/>
      <c r="J74" s="771"/>
      <c r="M74" s="686"/>
      <c r="N74" s="196"/>
      <c r="O74" s="687"/>
      <c r="P74" s="687"/>
    </row>
    <row r="75" spans="3:16" s="194" customFormat="1" x14ac:dyDescent="0.2">
      <c r="C75" s="804"/>
      <c r="D75" s="804"/>
      <c r="J75" s="771"/>
      <c r="M75" s="686"/>
      <c r="N75" s="196"/>
      <c r="O75" s="687"/>
      <c r="P75" s="687"/>
    </row>
    <row r="76" spans="3:16" s="194" customFormat="1" x14ac:dyDescent="0.2">
      <c r="C76" s="804"/>
      <c r="D76" s="804"/>
      <c r="J76" s="771"/>
      <c r="M76" s="686"/>
      <c r="N76" s="196"/>
      <c r="O76" s="687"/>
      <c r="P76" s="687"/>
    </row>
    <row r="77" spans="3:16" s="194" customFormat="1" x14ac:dyDescent="0.2">
      <c r="C77" s="804"/>
      <c r="D77" s="804"/>
      <c r="J77" s="771"/>
      <c r="M77" s="686"/>
      <c r="N77" s="196"/>
      <c r="O77" s="687"/>
      <c r="P77" s="687"/>
    </row>
    <row r="78" spans="3:16" s="194" customFormat="1" x14ac:dyDescent="0.2">
      <c r="C78" s="804"/>
      <c r="D78" s="804"/>
      <c r="J78" s="771"/>
      <c r="M78" s="686"/>
      <c r="N78" s="196"/>
      <c r="O78" s="687"/>
      <c r="P78" s="687"/>
    </row>
    <row r="79" spans="3:16" s="194" customFormat="1" x14ac:dyDescent="0.2">
      <c r="C79" s="804"/>
      <c r="D79" s="804"/>
      <c r="J79" s="771"/>
      <c r="M79" s="686"/>
      <c r="N79" s="196"/>
      <c r="O79" s="687"/>
      <c r="P79" s="687"/>
    </row>
    <row r="80" spans="3:16" s="194" customFormat="1" x14ac:dyDescent="0.2">
      <c r="C80" s="804"/>
      <c r="D80" s="804"/>
      <c r="J80" s="771"/>
      <c r="M80" s="686"/>
      <c r="N80" s="196"/>
      <c r="O80" s="687"/>
      <c r="P80" s="687"/>
    </row>
    <row r="81" spans="3:16" s="194" customFormat="1" x14ac:dyDescent="0.2">
      <c r="C81" s="804"/>
      <c r="D81" s="804"/>
      <c r="J81" s="771"/>
      <c r="M81" s="686"/>
      <c r="N81" s="196"/>
      <c r="O81" s="687"/>
      <c r="P81" s="687"/>
    </row>
    <row r="82" spans="3:16" s="194" customFormat="1" x14ac:dyDescent="0.2">
      <c r="C82" s="804"/>
      <c r="D82" s="804"/>
      <c r="J82" s="771"/>
      <c r="M82" s="686"/>
      <c r="N82" s="196"/>
      <c r="O82" s="687"/>
      <c r="P82" s="687"/>
    </row>
    <row r="83" spans="3:16" s="194" customFormat="1" x14ac:dyDescent="0.2">
      <c r="C83" s="804"/>
      <c r="D83" s="804"/>
      <c r="J83" s="771"/>
      <c r="M83" s="686"/>
      <c r="N83" s="196"/>
      <c r="O83" s="687"/>
      <c r="P83" s="687"/>
    </row>
    <row r="84" spans="3:16" s="194" customFormat="1" x14ac:dyDescent="0.2">
      <c r="C84" s="804"/>
      <c r="D84" s="804"/>
      <c r="J84" s="771"/>
      <c r="M84" s="686"/>
      <c r="N84" s="196"/>
      <c r="O84" s="687"/>
      <c r="P84" s="687"/>
    </row>
    <row r="85" spans="3:16" s="194" customFormat="1" x14ac:dyDescent="0.2">
      <c r="C85" s="804"/>
      <c r="D85" s="804"/>
      <c r="J85" s="771"/>
      <c r="M85" s="686"/>
      <c r="N85" s="196"/>
      <c r="O85" s="687"/>
      <c r="P85" s="687"/>
    </row>
    <row r="86" spans="3:16" s="194" customFormat="1" x14ac:dyDescent="0.2">
      <c r="C86" s="804"/>
      <c r="D86" s="804"/>
      <c r="J86" s="771"/>
      <c r="M86" s="686"/>
      <c r="N86" s="196"/>
      <c r="O86" s="687"/>
      <c r="P86" s="687"/>
    </row>
    <row r="87" spans="3:16" s="194" customFormat="1" x14ac:dyDescent="0.2">
      <c r="C87" s="804"/>
      <c r="D87" s="804"/>
      <c r="J87" s="771"/>
      <c r="M87" s="686"/>
      <c r="N87" s="196"/>
      <c r="O87" s="687"/>
      <c r="P87" s="687"/>
    </row>
    <row r="88" spans="3:16" s="194" customFormat="1" x14ac:dyDescent="0.2">
      <c r="C88" s="804"/>
      <c r="D88" s="804"/>
      <c r="J88" s="771"/>
      <c r="M88" s="686"/>
      <c r="N88" s="196"/>
      <c r="O88" s="687"/>
      <c r="P88" s="687"/>
    </row>
    <row r="89" spans="3:16" s="194" customFormat="1" x14ac:dyDescent="0.2">
      <c r="C89" s="804"/>
      <c r="D89" s="804"/>
      <c r="J89" s="771"/>
      <c r="M89" s="686"/>
      <c r="N89" s="196"/>
      <c r="O89" s="687"/>
      <c r="P89" s="687"/>
    </row>
    <row r="90" spans="3:16" s="194" customFormat="1" x14ac:dyDescent="0.2">
      <c r="C90" s="804"/>
      <c r="D90" s="804"/>
      <c r="J90" s="771"/>
      <c r="M90" s="686"/>
      <c r="N90" s="196"/>
      <c r="O90" s="687"/>
      <c r="P90" s="687"/>
    </row>
    <row r="91" spans="3:16" s="194" customFormat="1" x14ac:dyDescent="0.2">
      <c r="C91" s="804"/>
      <c r="D91" s="804"/>
      <c r="J91" s="771"/>
      <c r="M91" s="686"/>
      <c r="N91" s="196"/>
      <c r="O91" s="687"/>
      <c r="P91" s="687"/>
    </row>
    <row r="92" spans="3:16" s="194" customFormat="1" x14ac:dyDescent="0.2">
      <c r="C92" s="804"/>
      <c r="D92" s="804"/>
      <c r="J92" s="771"/>
      <c r="M92" s="686"/>
      <c r="N92" s="196"/>
      <c r="O92" s="687"/>
      <c r="P92" s="687"/>
    </row>
    <row r="93" spans="3:16" s="194" customFormat="1" x14ac:dyDescent="0.2">
      <c r="C93" s="804"/>
      <c r="D93" s="804"/>
      <c r="J93" s="771"/>
      <c r="M93" s="686"/>
      <c r="N93" s="196"/>
      <c r="O93" s="687"/>
      <c r="P93" s="687"/>
    </row>
    <row r="94" spans="3:16" s="194" customFormat="1" x14ac:dyDescent="0.2">
      <c r="C94" s="804"/>
      <c r="D94" s="804"/>
      <c r="J94" s="771"/>
      <c r="M94" s="686"/>
      <c r="N94" s="196"/>
      <c r="O94" s="687"/>
      <c r="P94" s="687"/>
    </row>
    <row r="95" spans="3:16" s="194" customFormat="1" x14ac:dyDescent="0.2">
      <c r="C95" s="804"/>
      <c r="D95" s="804"/>
      <c r="J95" s="771"/>
      <c r="M95" s="686"/>
      <c r="N95" s="196"/>
      <c r="O95" s="687"/>
      <c r="P95" s="687"/>
    </row>
    <row r="96" spans="3:16" s="194" customFormat="1" x14ac:dyDescent="0.2">
      <c r="C96" s="804"/>
      <c r="D96" s="804"/>
      <c r="J96" s="771"/>
      <c r="M96" s="686"/>
      <c r="N96" s="196"/>
      <c r="O96" s="687"/>
      <c r="P96" s="687"/>
    </row>
    <row r="97" spans="3:16" s="194" customFormat="1" x14ac:dyDescent="0.2">
      <c r="C97" s="804"/>
      <c r="D97" s="804"/>
      <c r="J97" s="771"/>
      <c r="M97" s="686"/>
      <c r="N97" s="196"/>
      <c r="O97" s="687"/>
      <c r="P97" s="687"/>
    </row>
    <row r="98" spans="3:16" s="194" customFormat="1" x14ac:dyDescent="0.2">
      <c r="C98" s="804"/>
      <c r="D98" s="804"/>
      <c r="J98" s="771"/>
      <c r="M98" s="686"/>
      <c r="N98" s="196"/>
      <c r="O98" s="687"/>
      <c r="P98" s="687"/>
    </row>
    <row r="99" spans="3:16" s="194" customFormat="1" x14ac:dyDescent="0.2">
      <c r="C99" s="804"/>
      <c r="D99" s="804"/>
      <c r="J99" s="771"/>
      <c r="M99" s="686"/>
      <c r="N99" s="196"/>
      <c r="O99" s="687"/>
      <c r="P99" s="687"/>
    </row>
    <row r="100" spans="3:16" s="194" customFormat="1" x14ac:dyDescent="0.2">
      <c r="C100" s="804"/>
      <c r="D100" s="804"/>
      <c r="J100" s="771"/>
      <c r="M100" s="686"/>
      <c r="N100" s="196"/>
      <c r="O100" s="687"/>
      <c r="P100" s="687"/>
    </row>
    <row r="101" spans="3:16" s="194" customFormat="1" x14ac:dyDescent="0.2">
      <c r="C101" s="804"/>
      <c r="D101" s="804"/>
      <c r="J101" s="771"/>
      <c r="M101" s="686"/>
      <c r="N101" s="196"/>
      <c r="O101" s="687"/>
      <c r="P101" s="687"/>
    </row>
    <row r="102" spans="3:16" s="194" customFormat="1" x14ac:dyDescent="0.2">
      <c r="C102" s="804"/>
      <c r="D102" s="804"/>
      <c r="J102" s="771"/>
      <c r="M102" s="686"/>
      <c r="N102" s="196"/>
      <c r="O102" s="687"/>
      <c r="P102" s="687"/>
    </row>
    <row r="103" spans="3:16" s="194" customFormat="1" x14ac:dyDescent="0.2">
      <c r="C103" s="804"/>
      <c r="D103" s="804"/>
      <c r="J103" s="771"/>
      <c r="M103" s="686"/>
      <c r="N103" s="196"/>
      <c r="O103" s="687"/>
      <c r="P103" s="687"/>
    </row>
    <row r="104" spans="3:16" s="194" customFormat="1" x14ac:dyDescent="0.2">
      <c r="C104" s="804"/>
      <c r="D104" s="804"/>
      <c r="J104" s="771"/>
      <c r="M104" s="686"/>
      <c r="N104" s="196"/>
      <c r="O104" s="687"/>
      <c r="P104" s="687"/>
    </row>
    <row r="105" spans="3:16" s="194" customFormat="1" x14ac:dyDescent="0.2">
      <c r="C105" s="804"/>
      <c r="D105" s="804"/>
      <c r="J105" s="771"/>
      <c r="M105" s="686"/>
      <c r="N105" s="196"/>
      <c r="O105" s="687"/>
      <c r="P105" s="687"/>
    </row>
    <row r="106" spans="3:16" s="194" customFormat="1" x14ac:dyDescent="0.2">
      <c r="C106" s="804"/>
      <c r="D106" s="804"/>
      <c r="J106" s="771"/>
      <c r="M106" s="686"/>
      <c r="N106" s="196"/>
      <c r="O106" s="687"/>
      <c r="P106" s="687"/>
    </row>
    <row r="107" spans="3:16" s="194" customFormat="1" x14ac:dyDescent="0.2">
      <c r="C107" s="804"/>
      <c r="D107" s="804"/>
      <c r="J107" s="771"/>
      <c r="M107" s="686"/>
      <c r="N107" s="196"/>
      <c r="O107" s="687"/>
      <c r="P107" s="687"/>
    </row>
    <row r="108" spans="3:16" s="194" customFormat="1" x14ac:dyDescent="0.2">
      <c r="C108" s="804"/>
      <c r="D108" s="804"/>
      <c r="J108" s="771"/>
      <c r="M108" s="686"/>
      <c r="N108" s="196"/>
      <c r="O108" s="687"/>
      <c r="P108" s="687"/>
    </row>
    <row r="109" spans="3:16" s="194" customFormat="1" x14ac:dyDescent="0.2">
      <c r="C109" s="804"/>
      <c r="D109" s="804"/>
      <c r="J109" s="771"/>
      <c r="M109" s="686"/>
      <c r="N109" s="196"/>
      <c r="O109" s="687"/>
      <c r="P109" s="687"/>
    </row>
    <row r="110" spans="3:16" s="194" customFormat="1" x14ac:dyDescent="0.2">
      <c r="C110" s="804"/>
      <c r="D110" s="804"/>
      <c r="J110" s="771"/>
      <c r="M110" s="686"/>
      <c r="N110" s="196"/>
      <c r="O110" s="687"/>
      <c r="P110" s="687"/>
    </row>
    <row r="111" spans="3:16" s="194" customFormat="1" x14ac:dyDescent="0.2">
      <c r="C111" s="804"/>
      <c r="D111" s="804"/>
      <c r="J111" s="771"/>
      <c r="M111" s="686"/>
      <c r="N111" s="196"/>
      <c r="O111" s="687"/>
      <c r="P111" s="687"/>
    </row>
    <row r="112" spans="3:16" s="194" customFormat="1" x14ac:dyDescent="0.2">
      <c r="C112" s="804"/>
      <c r="D112" s="804"/>
      <c r="J112" s="771"/>
      <c r="M112" s="686"/>
      <c r="N112" s="196"/>
      <c r="O112" s="687"/>
      <c r="P112" s="687"/>
    </row>
    <row r="113" spans="3:16" s="194" customFormat="1" x14ac:dyDescent="0.2">
      <c r="C113" s="804"/>
      <c r="D113" s="804"/>
      <c r="J113" s="771"/>
      <c r="M113" s="686"/>
      <c r="N113" s="196"/>
      <c r="O113" s="687"/>
      <c r="P113" s="687"/>
    </row>
    <row r="114" spans="3:16" s="194" customFormat="1" x14ac:dyDescent="0.2">
      <c r="C114" s="804"/>
      <c r="D114" s="804"/>
      <c r="J114" s="771"/>
      <c r="M114" s="686"/>
      <c r="N114" s="196"/>
      <c r="O114" s="687"/>
      <c r="P114" s="687"/>
    </row>
    <row r="115" spans="3:16" s="194" customFormat="1" x14ac:dyDescent="0.2">
      <c r="C115" s="804"/>
      <c r="D115" s="804"/>
      <c r="J115" s="771"/>
      <c r="M115" s="686"/>
      <c r="N115" s="196"/>
      <c r="O115" s="687"/>
      <c r="P115" s="687"/>
    </row>
    <row r="116" spans="3:16" s="194" customFormat="1" x14ac:dyDescent="0.2">
      <c r="C116" s="804"/>
      <c r="D116" s="804"/>
      <c r="J116" s="771"/>
      <c r="M116" s="686"/>
      <c r="N116" s="196"/>
      <c r="O116" s="687"/>
      <c r="P116" s="687"/>
    </row>
    <row r="117" spans="3:16" s="194" customFormat="1" x14ac:dyDescent="0.2">
      <c r="C117" s="804"/>
      <c r="D117" s="804"/>
      <c r="J117" s="771"/>
      <c r="M117" s="686"/>
      <c r="N117" s="196"/>
      <c r="O117" s="687"/>
      <c r="P117" s="687"/>
    </row>
    <row r="118" spans="3:16" s="194" customFormat="1" x14ac:dyDescent="0.2">
      <c r="C118" s="804"/>
      <c r="D118" s="804"/>
      <c r="J118" s="771"/>
      <c r="M118" s="686"/>
      <c r="N118" s="196"/>
      <c r="O118" s="687"/>
      <c r="P118" s="687"/>
    </row>
    <row r="119" spans="3:16" s="194" customFormat="1" x14ac:dyDescent="0.2">
      <c r="C119" s="804"/>
      <c r="D119" s="804"/>
      <c r="J119" s="771"/>
      <c r="M119" s="686"/>
      <c r="N119" s="196"/>
      <c r="O119" s="687"/>
      <c r="P119" s="687"/>
    </row>
    <row r="120" spans="3:16" s="194" customFormat="1" x14ac:dyDescent="0.2">
      <c r="C120" s="804"/>
      <c r="D120" s="804"/>
      <c r="J120" s="771"/>
      <c r="M120" s="686"/>
      <c r="N120" s="196"/>
      <c r="O120" s="687"/>
      <c r="P120" s="687"/>
    </row>
    <row r="121" spans="3:16" s="194" customFormat="1" x14ac:dyDescent="0.2">
      <c r="C121" s="804"/>
      <c r="D121" s="804"/>
      <c r="J121" s="771"/>
      <c r="M121" s="686"/>
      <c r="N121" s="196"/>
      <c r="O121" s="687"/>
      <c r="P121" s="687"/>
    </row>
    <row r="122" spans="3:16" s="194" customFormat="1" x14ac:dyDescent="0.2">
      <c r="C122" s="804"/>
      <c r="D122" s="804"/>
      <c r="J122" s="771"/>
      <c r="M122" s="686"/>
      <c r="N122" s="196"/>
      <c r="O122" s="687"/>
      <c r="P122" s="687"/>
    </row>
    <row r="123" spans="3:16" s="194" customFormat="1" x14ac:dyDescent="0.2">
      <c r="C123" s="804"/>
      <c r="D123" s="804"/>
      <c r="J123" s="771"/>
      <c r="M123" s="686"/>
      <c r="N123" s="196"/>
      <c r="O123" s="687"/>
      <c r="P123" s="687"/>
    </row>
    <row r="124" spans="3:16" s="194" customFormat="1" x14ac:dyDescent="0.2">
      <c r="C124" s="804"/>
      <c r="D124" s="804"/>
      <c r="J124" s="771"/>
      <c r="M124" s="686"/>
      <c r="N124" s="196"/>
      <c r="O124" s="687"/>
      <c r="P124" s="687"/>
    </row>
    <row r="125" spans="3:16" s="194" customFormat="1" x14ac:dyDescent="0.2">
      <c r="C125" s="804"/>
      <c r="D125" s="804"/>
      <c r="J125" s="771"/>
      <c r="M125" s="686"/>
      <c r="N125" s="196"/>
      <c r="O125" s="687"/>
      <c r="P125" s="687"/>
    </row>
    <row r="126" spans="3:16" s="194" customFormat="1" x14ac:dyDescent="0.2">
      <c r="C126" s="804"/>
      <c r="D126" s="804"/>
      <c r="J126" s="771"/>
      <c r="M126" s="686"/>
      <c r="N126" s="196"/>
      <c r="O126" s="687"/>
      <c r="P126" s="687"/>
    </row>
    <row r="127" spans="3:16" s="194" customFormat="1" x14ac:dyDescent="0.2">
      <c r="C127" s="804"/>
      <c r="D127" s="804"/>
      <c r="J127" s="771"/>
      <c r="M127" s="686"/>
      <c r="N127" s="196"/>
      <c r="O127" s="687"/>
      <c r="P127" s="687"/>
    </row>
    <row r="128" spans="3:16" s="194" customFormat="1" x14ac:dyDescent="0.2">
      <c r="C128" s="804"/>
      <c r="D128" s="804"/>
      <c r="J128" s="771"/>
      <c r="M128" s="686"/>
      <c r="N128" s="196"/>
      <c r="O128" s="687"/>
      <c r="P128" s="687"/>
    </row>
    <row r="129" spans="3:16" s="194" customFormat="1" x14ac:dyDescent="0.2">
      <c r="C129" s="804"/>
      <c r="D129" s="804"/>
      <c r="J129" s="771"/>
      <c r="M129" s="686"/>
      <c r="N129" s="196"/>
      <c r="O129" s="687"/>
      <c r="P129" s="687"/>
    </row>
    <row r="130" spans="3:16" s="194" customFormat="1" x14ac:dyDescent="0.2">
      <c r="C130" s="804"/>
      <c r="D130" s="804"/>
      <c r="J130" s="771"/>
      <c r="M130" s="686"/>
      <c r="N130" s="196"/>
      <c r="O130" s="687"/>
      <c r="P130" s="687"/>
    </row>
    <row r="131" spans="3:16" s="194" customFormat="1" x14ac:dyDescent="0.2">
      <c r="C131" s="804"/>
      <c r="D131" s="804"/>
      <c r="J131" s="771"/>
      <c r="M131" s="686"/>
      <c r="N131" s="196"/>
      <c r="O131" s="687"/>
      <c r="P131" s="687"/>
    </row>
    <row r="132" spans="3:16" s="194" customFormat="1" x14ac:dyDescent="0.2">
      <c r="C132" s="804"/>
      <c r="D132" s="804"/>
      <c r="J132" s="771"/>
      <c r="M132" s="686"/>
      <c r="N132" s="196"/>
      <c r="O132" s="687"/>
      <c r="P132" s="687"/>
    </row>
    <row r="133" spans="3:16" s="194" customFormat="1" x14ac:dyDescent="0.2">
      <c r="C133" s="804"/>
      <c r="D133" s="804"/>
      <c r="J133" s="771"/>
      <c r="M133" s="686"/>
      <c r="N133" s="196"/>
      <c r="O133" s="687"/>
      <c r="P133" s="687"/>
    </row>
    <row r="134" spans="3:16" s="194" customFormat="1" x14ac:dyDescent="0.2">
      <c r="C134" s="804"/>
      <c r="D134" s="804"/>
      <c r="J134" s="771"/>
      <c r="M134" s="686"/>
      <c r="N134" s="196"/>
      <c r="O134" s="687"/>
      <c r="P134" s="687"/>
    </row>
    <row r="135" spans="3:16" s="194" customFormat="1" x14ac:dyDescent="0.2">
      <c r="C135" s="804"/>
      <c r="D135" s="804"/>
      <c r="J135" s="771"/>
      <c r="M135" s="686"/>
      <c r="N135" s="196"/>
      <c r="O135" s="687"/>
      <c r="P135" s="687"/>
    </row>
    <row r="136" spans="3:16" s="194" customFormat="1" x14ac:dyDescent="0.2">
      <c r="C136" s="804"/>
      <c r="D136" s="804"/>
      <c r="J136" s="771"/>
      <c r="M136" s="686"/>
      <c r="N136" s="196"/>
      <c r="O136" s="687"/>
      <c r="P136" s="687"/>
    </row>
    <row r="137" spans="3:16" s="194" customFormat="1" x14ac:dyDescent="0.2">
      <c r="C137" s="804"/>
      <c r="D137" s="804"/>
      <c r="J137" s="771"/>
      <c r="M137" s="686"/>
      <c r="N137" s="196"/>
      <c r="O137" s="687"/>
      <c r="P137" s="687"/>
    </row>
    <row r="138" spans="3:16" s="194" customFormat="1" x14ac:dyDescent="0.2">
      <c r="C138" s="804"/>
      <c r="D138" s="804"/>
      <c r="J138" s="771"/>
      <c r="M138" s="686"/>
      <c r="N138" s="196"/>
      <c r="O138" s="687"/>
      <c r="P138" s="687"/>
    </row>
    <row r="139" spans="3:16" s="194" customFormat="1" x14ac:dyDescent="0.2">
      <c r="C139" s="804"/>
      <c r="D139" s="804"/>
      <c r="J139" s="771"/>
      <c r="M139" s="686"/>
      <c r="N139" s="196"/>
      <c r="O139" s="687"/>
      <c r="P139" s="687"/>
    </row>
    <row r="140" spans="3:16" s="194" customFormat="1" x14ac:dyDescent="0.2">
      <c r="C140" s="804"/>
      <c r="D140" s="804"/>
      <c r="J140" s="771"/>
      <c r="M140" s="686"/>
      <c r="N140" s="196"/>
      <c r="O140" s="687"/>
      <c r="P140" s="687"/>
    </row>
    <row r="141" spans="3:16" s="194" customFormat="1" x14ac:dyDescent="0.2">
      <c r="C141" s="804"/>
      <c r="D141" s="804"/>
      <c r="J141" s="771"/>
      <c r="M141" s="686"/>
      <c r="N141" s="196"/>
      <c r="O141" s="687"/>
      <c r="P141" s="687"/>
    </row>
    <row r="142" spans="3:16" s="194" customFormat="1" x14ac:dyDescent="0.2">
      <c r="C142" s="804"/>
      <c r="D142" s="804"/>
      <c r="J142" s="771"/>
      <c r="M142" s="686"/>
      <c r="N142" s="196"/>
      <c r="O142" s="687"/>
      <c r="P142" s="687"/>
    </row>
    <row r="143" spans="3:16" s="194" customFormat="1" x14ac:dyDescent="0.2">
      <c r="C143" s="804"/>
      <c r="D143" s="804"/>
      <c r="J143" s="771"/>
      <c r="M143" s="686"/>
      <c r="N143" s="196"/>
      <c r="O143" s="687"/>
      <c r="P143" s="687"/>
    </row>
    <row r="144" spans="3:16" s="194" customFormat="1" x14ac:dyDescent="0.2">
      <c r="C144" s="804"/>
      <c r="D144" s="804"/>
      <c r="J144" s="771"/>
      <c r="M144" s="686"/>
      <c r="N144" s="196"/>
      <c r="O144" s="687"/>
      <c r="P144" s="687"/>
    </row>
    <row r="145" spans="3:16" s="194" customFormat="1" x14ac:dyDescent="0.2">
      <c r="C145" s="804"/>
      <c r="D145" s="804"/>
      <c r="J145" s="771"/>
      <c r="M145" s="686"/>
      <c r="N145" s="196"/>
      <c r="O145" s="687"/>
      <c r="P145" s="687"/>
    </row>
    <row r="146" spans="3:16" s="194" customFormat="1" x14ac:dyDescent="0.2">
      <c r="C146" s="804"/>
      <c r="D146" s="804"/>
      <c r="J146" s="771"/>
      <c r="M146" s="686"/>
      <c r="N146" s="196"/>
      <c r="O146" s="687"/>
      <c r="P146" s="687"/>
    </row>
    <row r="147" spans="3:16" s="194" customFormat="1" x14ac:dyDescent="0.2">
      <c r="C147" s="804"/>
      <c r="D147" s="804"/>
      <c r="J147" s="771"/>
      <c r="M147" s="686"/>
      <c r="N147" s="196"/>
      <c r="O147" s="687"/>
      <c r="P147" s="687"/>
    </row>
    <row r="148" spans="3:16" s="194" customFormat="1" x14ac:dyDescent="0.2">
      <c r="C148" s="804"/>
      <c r="D148" s="804"/>
      <c r="J148" s="771"/>
      <c r="M148" s="686"/>
      <c r="N148" s="196"/>
      <c r="O148" s="687"/>
      <c r="P148" s="687"/>
    </row>
    <row r="149" spans="3:16" s="194" customFormat="1" x14ac:dyDescent="0.2">
      <c r="C149" s="804"/>
      <c r="D149" s="804"/>
      <c r="J149" s="771"/>
      <c r="M149" s="686"/>
      <c r="N149" s="196"/>
      <c r="O149" s="687"/>
      <c r="P149" s="687"/>
    </row>
    <row r="150" spans="3:16" s="194" customFormat="1" x14ac:dyDescent="0.2">
      <c r="C150" s="804"/>
      <c r="D150" s="804"/>
      <c r="J150" s="771"/>
      <c r="M150" s="686"/>
      <c r="N150" s="196"/>
      <c r="O150" s="687"/>
      <c r="P150" s="687"/>
    </row>
    <row r="151" spans="3:16" s="194" customFormat="1" x14ac:dyDescent="0.2">
      <c r="C151" s="804"/>
      <c r="D151" s="804"/>
      <c r="J151" s="771"/>
      <c r="M151" s="686"/>
      <c r="N151" s="196"/>
      <c r="O151" s="687"/>
      <c r="P151" s="687"/>
    </row>
    <row r="152" spans="3:16" s="194" customFormat="1" x14ac:dyDescent="0.2">
      <c r="C152" s="804"/>
      <c r="D152" s="804"/>
      <c r="J152" s="771"/>
      <c r="M152" s="686"/>
      <c r="N152" s="196"/>
      <c r="O152" s="687"/>
      <c r="P152" s="687"/>
    </row>
    <row r="153" spans="3:16" s="194" customFormat="1" x14ac:dyDescent="0.2">
      <c r="C153" s="804"/>
      <c r="D153" s="804"/>
      <c r="J153" s="771"/>
      <c r="M153" s="686"/>
      <c r="N153" s="196"/>
      <c r="O153" s="687"/>
      <c r="P153" s="687"/>
    </row>
    <row r="154" spans="3:16" s="194" customFormat="1" x14ac:dyDescent="0.2">
      <c r="C154" s="804"/>
      <c r="D154" s="804"/>
      <c r="J154" s="771"/>
      <c r="M154" s="686"/>
      <c r="N154" s="196"/>
      <c r="O154" s="687"/>
      <c r="P154" s="687"/>
    </row>
    <row r="155" spans="3:16" s="194" customFormat="1" x14ac:dyDescent="0.2">
      <c r="C155" s="804"/>
      <c r="D155" s="804"/>
      <c r="J155" s="771"/>
      <c r="M155" s="686"/>
      <c r="N155" s="196"/>
      <c r="O155" s="687"/>
      <c r="P155" s="687"/>
    </row>
    <row r="156" spans="3:16" s="194" customFormat="1" x14ac:dyDescent="0.2">
      <c r="C156" s="804"/>
      <c r="D156" s="804"/>
      <c r="J156" s="771"/>
      <c r="M156" s="686"/>
      <c r="N156" s="196"/>
      <c r="O156" s="687"/>
      <c r="P156" s="687"/>
    </row>
    <row r="157" spans="3:16" s="194" customFormat="1" x14ac:dyDescent="0.2">
      <c r="C157" s="804"/>
      <c r="D157" s="804"/>
      <c r="J157" s="771"/>
      <c r="M157" s="686"/>
      <c r="N157" s="196"/>
      <c r="O157" s="687"/>
      <c r="P157" s="687"/>
    </row>
    <row r="158" spans="3:16" s="194" customFormat="1" x14ac:dyDescent="0.2">
      <c r="C158" s="804"/>
      <c r="D158" s="804"/>
      <c r="J158" s="771"/>
      <c r="M158" s="686"/>
      <c r="N158" s="196"/>
      <c r="O158" s="687"/>
      <c r="P158" s="687"/>
    </row>
    <row r="159" spans="3:16" s="194" customFormat="1" x14ac:dyDescent="0.2">
      <c r="C159" s="804"/>
      <c r="D159" s="804"/>
      <c r="J159" s="771"/>
      <c r="M159" s="686"/>
      <c r="N159" s="196"/>
      <c r="O159" s="687"/>
      <c r="P159" s="687"/>
    </row>
    <row r="160" spans="3:16" s="194" customFormat="1" x14ac:dyDescent="0.2">
      <c r="C160" s="804"/>
      <c r="D160" s="804"/>
      <c r="J160" s="771"/>
      <c r="M160" s="686"/>
      <c r="N160" s="196"/>
      <c r="O160" s="687"/>
      <c r="P160" s="687"/>
    </row>
    <row r="161" spans="3:16" s="194" customFormat="1" x14ac:dyDescent="0.2">
      <c r="C161" s="804"/>
      <c r="D161" s="804"/>
      <c r="J161" s="771"/>
      <c r="M161" s="686"/>
      <c r="N161" s="196"/>
      <c r="O161" s="687"/>
      <c r="P161" s="687"/>
    </row>
    <row r="162" spans="3:16" s="194" customFormat="1" x14ac:dyDescent="0.2">
      <c r="C162" s="804"/>
      <c r="D162" s="804"/>
      <c r="J162" s="771"/>
      <c r="M162" s="686"/>
      <c r="N162" s="196"/>
      <c r="O162" s="687"/>
      <c r="P162" s="687"/>
    </row>
    <row r="163" spans="3:16" s="194" customFormat="1" x14ac:dyDescent="0.2">
      <c r="C163" s="804"/>
      <c r="D163" s="804"/>
      <c r="J163" s="771"/>
      <c r="M163" s="686"/>
      <c r="N163" s="196"/>
      <c r="O163" s="687"/>
      <c r="P163" s="687"/>
    </row>
    <row r="164" spans="3:16" s="194" customFormat="1" x14ac:dyDescent="0.2">
      <c r="C164" s="804"/>
      <c r="D164" s="804"/>
      <c r="J164" s="771"/>
      <c r="M164" s="686"/>
      <c r="N164" s="196"/>
      <c r="O164" s="687"/>
      <c r="P164" s="687"/>
    </row>
    <row r="165" spans="3:16" s="194" customFormat="1" x14ac:dyDescent="0.2">
      <c r="C165" s="804"/>
      <c r="D165" s="804"/>
      <c r="J165" s="771"/>
      <c r="M165" s="686"/>
      <c r="N165" s="196"/>
      <c r="O165" s="687"/>
      <c r="P165" s="687"/>
    </row>
    <row r="166" spans="3:16" s="194" customFormat="1" x14ac:dyDescent="0.2">
      <c r="C166" s="804"/>
      <c r="D166" s="804"/>
      <c r="J166" s="771"/>
      <c r="M166" s="686"/>
      <c r="N166" s="196"/>
      <c r="O166" s="687"/>
      <c r="P166" s="687"/>
    </row>
    <row r="167" spans="3:16" s="194" customFormat="1" x14ac:dyDescent="0.2">
      <c r="C167" s="804"/>
      <c r="D167" s="804"/>
      <c r="J167" s="771"/>
      <c r="M167" s="686"/>
      <c r="N167" s="196"/>
      <c r="O167" s="687"/>
      <c r="P167" s="687"/>
    </row>
    <row r="168" spans="3:16" s="194" customFormat="1" x14ac:dyDescent="0.2">
      <c r="C168" s="804"/>
      <c r="D168" s="804"/>
      <c r="J168" s="771"/>
      <c r="M168" s="686"/>
      <c r="N168" s="196"/>
      <c r="O168" s="687"/>
      <c r="P168" s="687"/>
    </row>
    <row r="169" spans="3:16" s="194" customFormat="1" x14ac:dyDescent="0.2">
      <c r="C169" s="804"/>
      <c r="D169" s="804"/>
      <c r="J169" s="771"/>
      <c r="M169" s="686"/>
      <c r="N169" s="196"/>
      <c r="O169" s="687"/>
      <c r="P169" s="687"/>
    </row>
    <row r="170" spans="3:16" s="194" customFormat="1" x14ac:dyDescent="0.2">
      <c r="C170" s="804"/>
      <c r="D170" s="804"/>
      <c r="J170" s="771"/>
      <c r="M170" s="686"/>
      <c r="N170" s="196"/>
      <c r="O170" s="687"/>
      <c r="P170" s="687"/>
    </row>
    <row r="171" spans="3:16" s="194" customFormat="1" x14ac:dyDescent="0.2">
      <c r="C171" s="804"/>
      <c r="D171" s="804"/>
      <c r="J171" s="771"/>
      <c r="M171" s="686"/>
      <c r="N171" s="196"/>
      <c r="O171" s="687"/>
      <c r="P171" s="687"/>
    </row>
    <row r="172" spans="3:16" s="194" customFormat="1" x14ac:dyDescent="0.2">
      <c r="C172" s="804"/>
      <c r="D172" s="804"/>
      <c r="J172" s="771"/>
      <c r="M172" s="686"/>
      <c r="N172" s="196"/>
      <c r="O172" s="687"/>
      <c r="P172" s="687"/>
    </row>
    <row r="173" spans="3:16" s="194" customFormat="1" x14ac:dyDescent="0.2">
      <c r="C173" s="804"/>
      <c r="D173" s="804"/>
      <c r="J173" s="771"/>
      <c r="M173" s="686"/>
      <c r="N173" s="196"/>
      <c r="O173" s="687"/>
      <c r="P173" s="687"/>
    </row>
    <row r="174" spans="3:16" s="194" customFormat="1" x14ac:dyDescent="0.2">
      <c r="C174" s="804"/>
      <c r="D174" s="804"/>
      <c r="J174" s="771"/>
      <c r="M174" s="686"/>
      <c r="N174" s="196"/>
      <c r="O174" s="687"/>
      <c r="P174" s="687"/>
    </row>
    <row r="175" spans="3:16" s="194" customFormat="1" x14ac:dyDescent="0.2">
      <c r="C175" s="804"/>
      <c r="D175" s="804"/>
      <c r="J175" s="771"/>
      <c r="M175" s="686"/>
      <c r="N175" s="196"/>
      <c r="O175" s="687"/>
      <c r="P175" s="687"/>
    </row>
    <row r="176" spans="3:16" s="194" customFormat="1" x14ac:dyDescent="0.2">
      <c r="C176" s="804"/>
      <c r="D176" s="804"/>
      <c r="J176" s="771"/>
      <c r="M176" s="686"/>
      <c r="N176" s="196"/>
      <c r="O176" s="687"/>
      <c r="P176" s="687"/>
    </row>
    <row r="177" spans="3:16" s="194" customFormat="1" x14ac:dyDescent="0.2">
      <c r="C177" s="804"/>
      <c r="D177" s="804"/>
      <c r="J177" s="771"/>
      <c r="M177" s="686"/>
      <c r="N177" s="196"/>
      <c r="O177" s="687"/>
      <c r="P177" s="687"/>
    </row>
    <row r="178" spans="3:16" s="194" customFormat="1" x14ac:dyDescent="0.2">
      <c r="C178" s="804"/>
      <c r="D178" s="804"/>
      <c r="J178" s="771"/>
      <c r="M178" s="686"/>
      <c r="N178" s="196"/>
      <c r="O178" s="687"/>
      <c r="P178" s="687"/>
    </row>
    <row r="179" spans="3:16" s="194" customFormat="1" x14ac:dyDescent="0.2">
      <c r="C179" s="804"/>
      <c r="D179" s="804"/>
      <c r="J179" s="771"/>
      <c r="M179" s="686"/>
      <c r="N179" s="196"/>
      <c r="O179" s="687"/>
      <c r="P179" s="687"/>
    </row>
    <row r="180" spans="3:16" s="194" customFormat="1" x14ac:dyDescent="0.2">
      <c r="C180" s="804"/>
      <c r="D180" s="804"/>
      <c r="J180" s="771"/>
      <c r="M180" s="686"/>
      <c r="N180" s="196"/>
      <c r="O180" s="687"/>
      <c r="P180" s="687"/>
    </row>
    <row r="181" spans="3:16" s="194" customFormat="1" x14ac:dyDescent="0.2">
      <c r="C181" s="804"/>
      <c r="D181" s="804"/>
      <c r="J181" s="771"/>
      <c r="M181" s="686"/>
      <c r="N181" s="196"/>
      <c r="O181" s="687"/>
      <c r="P181" s="687"/>
    </row>
    <row r="182" spans="3:16" s="194" customFormat="1" x14ac:dyDescent="0.2">
      <c r="C182" s="804"/>
      <c r="D182" s="804"/>
      <c r="J182" s="771"/>
      <c r="M182" s="686"/>
      <c r="N182" s="196"/>
      <c r="O182" s="687"/>
      <c r="P182" s="687"/>
    </row>
    <row r="183" spans="3:16" s="194" customFormat="1" x14ac:dyDescent="0.2">
      <c r="C183" s="804"/>
      <c r="D183" s="804"/>
      <c r="J183" s="771"/>
      <c r="M183" s="686"/>
      <c r="N183" s="196"/>
      <c r="O183" s="687"/>
      <c r="P183" s="687"/>
    </row>
    <row r="184" spans="3:16" s="194" customFormat="1" x14ac:dyDescent="0.2">
      <c r="C184" s="804"/>
      <c r="D184" s="804"/>
      <c r="J184" s="771"/>
      <c r="M184" s="686"/>
      <c r="N184" s="196"/>
      <c r="O184" s="687"/>
      <c r="P184" s="687"/>
    </row>
    <row r="185" spans="3:16" s="194" customFormat="1" x14ac:dyDescent="0.2">
      <c r="C185" s="804"/>
      <c r="D185" s="804"/>
      <c r="J185" s="771"/>
      <c r="M185" s="686"/>
      <c r="N185" s="196"/>
      <c r="O185" s="687"/>
      <c r="P185" s="687"/>
    </row>
    <row r="186" spans="3:16" s="194" customFormat="1" x14ac:dyDescent="0.2">
      <c r="C186" s="804"/>
      <c r="D186" s="804"/>
      <c r="J186" s="771"/>
      <c r="M186" s="686"/>
      <c r="N186" s="196"/>
      <c r="O186" s="687"/>
      <c r="P186" s="687"/>
    </row>
    <row r="187" spans="3:16" s="194" customFormat="1" x14ac:dyDescent="0.2">
      <c r="C187" s="804"/>
      <c r="D187" s="804"/>
      <c r="J187" s="771"/>
      <c r="M187" s="686"/>
      <c r="N187" s="196"/>
      <c r="O187" s="687"/>
      <c r="P187" s="687"/>
    </row>
    <row r="188" spans="3:16" s="194" customFormat="1" x14ac:dyDescent="0.2">
      <c r="C188" s="804"/>
      <c r="D188" s="804"/>
      <c r="J188" s="771"/>
      <c r="M188" s="686"/>
      <c r="N188" s="196"/>
      <c r="O188" s="687"/>
      <c r="P188" s="687"/>
    </row>
    <row r="189" spans="3:16" s="194" customFormat="1" x14ac:dyDescent="0.2">
      <c r="C189" s="804"/>
      <c r="D189" s="804"/>
      <c r="J189" s="771"/>
      <c r="M189" s="686"/>
      <c r="N189" s="196"/>
      <c r="O189" s="687"/>
      <c r="P189" s="687"/>
    </row>
    <row r="190" spans="3:16" s="194" customFormat="1" x14ac:dyDescent="0.2">
      <c r="C190" s="804"/>
      <c r="D190" s="804"/>
      <c r="J190" s="771"/>
      <c r="M190" s="686"/>
      <c r="N190" s="196"/>
      <c r="O190" s="687"/>
      <c r="P190" s="687"/>
    </row>
    <row r="191" spans="3:16" s="194" customFormat="1" x14ac:dyDescent="0.2">
      <c r="C191" s="804"/>
      <c r="D191" s="804"/>
      <c r="J191" s="771"/>
      <c r="M191" s="686"/>
      <c r="N191" s="196"/>
      <c r="O191" s="687"/>
      <c r="P191" s="687"/>
    </row>
    <row r="192" spans="3:16" s="194" customFormat="1" x14ac:dyDescent="0.2">
      <c r="C192" s="804"/>
      <c r="D192" s="804"/>
      <c r="J192" s="771"/>
      <c r="M192" s="686"/>
      <c r="N192" s="196"/>
      <c r="O192" s="687"/>
      <c r="P192" s="687"/>
    </row>
    <row r="193" spans="3:16" s="194" customFormat="1" x14ac:dyDescent="0.2">
      <c r="C193" s="804"/>
      <c r="D193" s="804"/>
      <c r="J193" s="771"/>
      <c r="M193" s="686"/>
      <c r="N193" s="196"/>
      <c r="O193" s="687"/>
      <c r="P193" s="687"/>
    </row>
    <row r="194" spans="3:16" s="194" customFormat="1" x14ac:dyDescent="0.2">
      <c r="C194" s="804"/>
      <c r="D194" s="804"/>
      <c r="J194" s="771"/>
      <c r="M194" s="686"/>
      <c r="N194" s="196"/>
      <c r="O194" s="687"/>
      <c r="P194" s="687"/>
    </row>
    <row r="195" spans="3:16" s="194" customFormat="1" x14ac:dyDescent="0.2">
      <c r="C195" s="804"/>
      <c r="D195" s="804"/>
      <c r="J195" s="771"/>
      <c r="M195" s="686"/>
      <c r="N195" s="196"/>
      <c r="O195" s="687"/>
      <c r="P195" s="687"/>
    </row>
    <row r="196" spans="3:16" s="194" customFormat="1" x14ac:dyDescent="0.2">
      <c r="C196" s="804"/>
      <c r="D196" s="804"/>
      <c r="J196" s="771"/>
      <c r="M196" s="686"/>
      <c r="N196" s="196"/>
      <c r="O196" s="687"/>
      <c r="P196" s="687"/>
    </row>
    <row r="197" spans="3:16" s="194" customFormat="1" x14ac:dyDescent="0.2">
      <c r="C197" s="804"/>
      <c r="D197" s="804"/>
      <c r="J197" s="771"/>
      <c r="M197" s="686"/>
      <c r="N197" s="196"/>
      <c r="O197" s="687"/>
      <c r="P197" s="687"/>
    </row>
    <row r="198" spans="3:16" s="194" customFormat="1" x14ac:dyDescent="0.2">
      <c r="C198" s="804"/>
      <c r="D198" s="804"/>
      <c r="J198" s="771"/>
      <c r="M198" s="686"/>
      <c r="N198" s="196"/>
      <c r="O198" s="687"/>
      <c r="P198" s="687"/>
    </row>
    <row r="199" spans="3:16" s="194" customFormat="1" x14ac:dyDescent="0.2">
      <c r="C199" s="804"/>
      <c r="D199" s="804"/>
      <c r="J199" s="771"/>
      <c r="M199" s="686"/>
      <c r="N199" s="196"/>
      <c r="O199" s="687"/>
      <c r="P199" s="687"/>
    </row>
    <row r="200" spans="3:16" s="194" customFormat="1" x14ac:dyDescent="0.2">
      <c r="C200" s="804"/>
      <c r="D200" s="804"/>
      <c r="J200" s="771"/>
      <c r="M200" s="686"/>
      <c r="N200" s="196"/>
      <c r="O200" s="687"/>
      <c r="P200" s="687"/>
    </row>
    <row r="201" spans="3:16" s="194" customFormat="1" x14ac:dyDescent="0.2">
      <c r="C201" s="804"/>
      <c r="D201" s="804"/>
      <c r="J201" s="771"/>
      <c r="M201" s="686"/>
      <c r="N201" s="196"/>
      <c r="O201" s="687"/>
      <c r="P201" s="687"/>
    </row>
    <row r="202" spans="3:16" s="194" customFormat="1" x14ac:dyDescent="0.2">
      <c r="C202" s="804"/>
      <c r="D202" s="804"/>
      <c r="J202" s="771"/>
      <c r="M202" s="686"/>
      <c r="N202" s="196"/>
      <c r="O202" s="687"/>
      <c r="P202" s="687"/>
    </row>
    <row r="203" spans="3:16" s="194" customFormat="1" x14ac:dyDescent="0.2">
      <c r="C203" s="804"/>
      <c r="D203" s="804"/>
      <c r="J203" s="771"/>
      <c r="M203" s="686"/>
      <c r="N203" s="196"/>
      <c r="O203" s="687"/>
      <c r="P203" s="687"/>
    </row>
    <row r="204" spans="3:16" s="194" customFormat="1" x14ac:dyDescent="0.2">
      <c r="C204" s="804"/>
      <c r="D204" s="804"/>
      <c r="J204" s="771"/>
      <c r="M204" s="686"/>
      <c r="N204" s="196"/>
      <c r="O204" s="687"/>
      <c r="P204" s="687"/>
    </row>
    <row r="205" spans="3:16" s="194" customFormat="1" x14ac:dyDescent="0.2">
      <c r="C205" s="804"/>
      <c r="D205" s="804"/>
      <c r="J205" s="771"/>
      <c r="M205" s="686"/>
      <c r="N205" s="196"/>
      <c r="O205" s="687"/>
      <c r="P205" s="687"/>
    </row>
    <row r="206" spans="3:16" s="194" customFormat="1" x14ac:dyDescent="0.2">
      <c r="C206" s="804"/>
      <c r="D206" s="804"/>
      <c r="J206" s="771"/>
      <c r="M206" s="686"/>
      <c r="N206" s="196"/>
      <c r="O206" s="687"/>
      <c r="P206" s="687"/>
    </row>
    <row r="207" spans="3:16" s="194" customFormat="1" x14ac:dyDescent="0.2">
      <c r="C207" s="804"/>
      <c r="D207" s="804"/>
      <c r="J207" s="771"/>
      <c r="M207" s="686"/>
      <c r="N207" s="196"/>
      <c r="O207" s="687"/>
      <c r="P207" s="687"/>
    </row>
    <row r="208" spans="3:16" s="194" customFormat="1" x14ac:dyDescent="0.2">
      <c r="C208" s="804"/>
      <c r="D208" s="804"/>
      <c r="J208" s="771"/>
      <c r="M208" s="686"/>
      <c r="N208" s="196"/>
      <c r="O208" s="687"/>
      <c r="P208" s="687"/>
    </row>
    <row r="209" spans="3:16" s="194" customFormat="1" x14ac:dyDescent="0.2">
      <c r="C209" s="804"/>
      <c r="D209" s="804"/>
      <c r="J209" s="771"/>
      <c r="M209" s="686"/>
      <c r="N209" s="196"/>
      <c r="O209" s="687"/>
      <c r="P209" s="687"/>
    </row>
    <row r="210" spans="3:16" s="194" customFormat="1" x14ac:dyDescent="0.2">
      <c r="C210" s="804"/>
      <c r="D210" s="804"/>
      <c r="J210" s="771"/>
      <c r="M210" s="686"/>
      <c r="N210" s="196"/>
      <c r="O210" s="687"/>
      <c r="P210" s="687"/>
    </row>
    <row r="211" spans="3:16" s="194" customFormat="1" x14ac:dyDescent="0.2">
      <c r="C211" s="804"/>
      <c r="D211" s="804"/>
      <c r="J211" s="771"/>
      <c r="M211" s="686"/>
      <c r="N211" s="196"/>
      <c r="O211" s="687"/>
      <c r="P211" s="687"/>
    </row>
    <row r="212" spans="3:16" s="194" customFormat="1" x14ac:dyDescent="0.2">
      <c r="C212" s="804"/>
      <c r="D212" s="804"/>
      <c r="J212" s="771"/>
      <c r="M212" s="686"/>
      <c r="N212" s="196"/>
      <c r="O212" s="687"/>
      <c r="P212" s="687"/>
    </row>
    <row r="213" spans="3:16" s="194" customFormat="1" x14ac:dyDescent="0.2">
      <c r="C213" s="804"/>
      <c r="D213" s="804"/>
      <c r="J213" s="771"/>
      <c r="M213" s="686"/>
      <c r="N213" s="196"/>
      <c r="O213" s="687"/>
      <c r="P213" s="687"/>
    </row>
    <row r="214" spans="3:16" s="194" customFormat="1" x14ac:dyDescent="0.2">
      <c r="C214" s="804"/>
      <c r="D214" s="804"/>
      <c r="J214" s="771"/>
      <c r="M214" s="686"/>
      <c r="N214" s="196"/>
      <c r="O214" s="687"/>
      <c r="P214" s="687"/>
    </row>
    <row r="215" spans="3:16" s="194" customFormat="1" x14ac:dyDescent="0.2">
      <c r="C215" s="804"/>
      <c r="D215" s="804"/>
      <c r="J215" s="771"/>
      <c r="M215" s="686"/>
      <c r="N215" s="196"/>
      <c r="O215" s="687"/>
      <c r="P215" s="687"/>
    </row>
    <row r="216" spans="3:16" s="194" customFormat="1" x14ac:dyDescent="0.2">
      <c r="C216" s="804"/>
      <c r="D216" s="804"/>
      <c r="J216" s="771"/>
      <c r="M216" s="686"/>
      <c r="N216" s="196"/>
      <c r="O216" s="687"/>
      <c r="P216" s="687"/>
    </row>
    <row r="217" spans="3:16" s="194" customFormat="1" x14ac:dyDescent="0.2">
      <c r="C217" s="804"/>
      <c r="D217" s="804"/>
      <c r="J217" s="771"/>
      <c r="M217" s="686"/>
      <c r="N217" s="196"/>
      <c r="O217" s="687"/>
      <c r="P217" s="687"/>
    </row>
    <row r="218" spans="3:16" s="194" customFormat="1" x14ac:dyDescent="0.2">
      <c r="C218" s="804"/>
      <c r="D218" s="804"/>
      <c r="J218" s="771"/>
      <c r="M218" s="686"/>
      <c r="N218" s="196"/>
      <c r="O218" s="687"/>
      <c r="P218" s="687"/>
    </row>
    <row r="219" spans="3:16" s="194" customFormat="1" x14ac:dyDescent="0.2">
      <c r="C219" s="804"/>
      <c r="D219" s="804"/>
      <c r="J219" s="771"/>
      <c r="M219" s="686"/>
      <c r="N219" s="196"/>
      <c r="O219" s="687"/>
      <c r="P219" s="687"/>
    </row>
    <row r="220" spans="3:16" s="194" customFormat="1" x14ac:dyDescent="0.2">
      <c r="C220" s="804"/>
      <c r="D220" s="804"/>
      <c r="J220" s="771"/>
      <c r="M220" s="686"/>
      <c r="N220" s="196"/>
      <c r="O220" s="687"/>
      <c r="P220" s="687"/>
    </row>
    <row r="221" spans="3:16" s="194" customFormat="1" x14ac:dyDescent="0.2">
      <c r="C221" s="804"/>
      <c r="D221" s="804"/>
      <c r="J221" s="771"/>
      <c r="M221" s="686"/>
      <c r="N221" s="196"/>
      <c r="O221" s="687"/>
      <c r="P221" s="687"/>
    </row>
    <row r="222" spans="3:16" s="194" customFormat="1" x14ac:dyDescent="0.2">
      <c r="C222" s="804"/>
      <c r="D222" s="804"/>
      <c r="J222" s="771"/>
      <c r="M222" s="686"/>
      <c r="N222" s="196"/>
      <c r="O222" s="687"/>
      <c r="P222" s="687"/>
    </row>
    <row r="223" spans="3:16" s="194" customFormat="1" x14ac:dyDescent="0.2">
      <c r="C223" s="804"/>
      <c r="D223" s="804"/>
      <c r="J223" s="771"/>
      <c r="M223" s="686"/>
      <c r="N223" s="196"/>
      <c r="O223" s="687"/>
      <c r="P223" s="687"/>
    </row>
    <row r="224" spans="3:16" s="194" customFormat="1" x14ac:dyDescent="0.2">
      <c r="C224" s="804"/>
      <c r="D224" s="804"/>
      <c r="J224" s="771"/>
      <c r="M224" s="686"/>
      <c r="N224" s="196"/>
      <c r="O224" s="687"/>
      <c r="P224" s="687"/>
    </row>
    <row r="225" spans="3:16" s="194" customFormat="1" x14ac:dyDescent="0.2">
      <c r="C225" s="804"/>
      <c r="D225" s="804"/>
      <c r="J225" s="771"/>
      <c r="M225" s="686"/>
      <c r="N225" s="196"/>
      <c r="O225" s="687"/>
      <c r="P225" s="687"/>
    </row>
    <row r="226" spans="3:16" s="194" customFormat="1" x14ac:dyDescent="0.2">
      <c r="C226" s="804"/>
      <c r="D226" s="804"/>
      <c r="J226" s="771"/>
      <c r="M226" s="686"/>
      <c r="N226" s="196"/>
      <c r="O226" s="687"/>
      <c r="P226" s="687"/>
    </row>
    <row r="227" spans="3:16" s="194" customFormat="1" x14ac:dyDescent="0.2">
      <c r="C227" s="804"/>
      <c r="D227" s="804"/>
      <c r="J227" s="771"/>
      <c r="M227" s="686"/>
      <c r="N227" s="196"/>
      <c r="O227" s="687"/>
      <c r="P227" s="687"/>
    </row>
    <row r="228" spans="3:16" s="194" customFormat="1" x14ac:dyDescent="0.2">
      <c r="C228" s="804"/>
      <c r="D228" s="804"/>
      <c r="J228" s="771"/>
      <c r="M228" s="686"/>
      <c r="N228" s="196"/>
      <c r="O228" s="687"/>
      <c r="P228" s="687"/>
    </row>
    <row r="229" spans="3:16" s="194" customFormat="1" x14ac:dyDescent="0.2">
      <c r="C229" s="804"/>
      <c r="D229" s="804"/>
      <c r="J229" s="771"/>
      <c r="M229" s="686"/>
      <c r="N229" s="196"/>
      <c r="O229" s="687"/>
      <c r="P229" s="687"/>
    </row>
    <row r="230" spans="3:16" s="194" customFormat="1" x14ac:dyDescent="0.2">
      <c r="C230" s="804"/>
      <c r="D230" s="804"/>
      <c r="J230" s="771"/>
      <c r="M230" s="686"/>
      <c r="N230" s="196"/>
      <c r="O230" s="687"/>
      <c r="P230" s="687"/>
    </row>
    <row r="231" spans="3:16" s="194" customFormat="1" x14ac:dyDescent="0.2">
      <c r="C231" s="804"/>
      <c r="D231" s="804"/>
      <c r="J231" s="771"/>
      <c r="M231" s="686"/>
      <c r="N231" s="196"/>
      <c r="O231" s="687"/>
      <c r="P231" s="687"/>
    </row>
    <row r="232" spans="3:16" s="194" customFormat="1" x14ac:dyDescent="0.2">
      <c r="C232" s="804"/>
      <c r="D232" s="804"/>
      <c r="J232" s="771"/>
      <c r="M232" s="686"/>
      <c r="N232" s="196"/>
      <c r="O232" s="687"/>
      <c r="P232" s="687"/>
    </row>
    <row r="233" spans="3:16" s="194" customFormat="1" x14ac:dyDescent="0.2">
      <c r="C233" s="804"/>
      <c r="D233" s="804"/>
      <c r="J233" s="771"/>
      <c r="M233" s="686"/>
      <c r="N233" s="196"/>
      <c r="O233" s="687"/>
      <c r="P233" s="687"/>
    </row>
    <row r="234" spans="3:16" s="194" customFormat="1" x14ac:dyDescent="0.2">
      <c r="C234" s="804"/>
      <c r="D234" s="804"/>
      <c r="J234" s="771"/>
      <c r="M234" s="686"/>
      <c r="N234" s="196"/>
      <c r="O234" s="687"/>
      <c r="P234" s="687"/>
    </row>
    <row r="235" spans="3:16" s="194" customFormat="1" x14ac:dyDescent="0.2">
      <c r="C235" s="804"/>
      <c r="D235" s="804"/>
      <c r="J235" s="771"/>
      <c r="M235" s="686"/>
      <c r="N235" s="196"/>
      <c r="O235" s="687"/>
      <c r="P235" s="687"/>
    </row>
    <row r="236" spans="3:16" s="194" customFormat="1" x14ac:dyDescent="0.2">
      <c r="C236" s="804"/>
      <c r="D236" s="804"/>
      <c r="J236" s="771"/>
      <c r="M236" s="686"/>
      <c r="N236" s="196"/>
      <c r="O236" s="687"/>
      <c r="P236" s="687"/>
    </row>
    <row r="237" spans="3:16" s="194" customFormat="1" x14ac:dyDescent="0.2">
      <c r="C237" s="804"/>
      <c r="D237" s="804"/>
      <c r="J237" s="771"/>
      <c r="M237" s="686"/>
      <c r="N237" s="196"/>
      <c r="O237" s="687"/>
      <c r="P237" s="687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27:F27"/>
    <mergeCell ref="G27:I27"/>
    <mergeCell ref="C38:F38"/>
    <mergeCell ref="G38:I38"/>
    <mergeCell ref="C46:F46"/>
    <mergeCell ref="G46:I46"/>
    <mergeCell ref="B56:B57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zoomScale="75" zoomScaleNormal="75" zoomScaleSheetLayoutView="90" zoomScalePageLayoutView="75" workbookViewId="0">
      <selection activeCell="H16" sqref="H16"/>
    </sheetView>
  </sheetViews>
  <sheetFormatPr defaultColWidth="9.140625" defaultRowHeight="12.75" x14ac:dyDescent="0.2"/>
  <cols>
    <col min="1" max="1" width="12.140625" style="157" bestFit="1" customWidth="1"/>
    <col min="2" max="2" width="66.85546875" style="157" bestFit="1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1.85546875" style="304" bestFit="1" customWidth="1"/>
    <col min="16" max="16" width="22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487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488</v>
      </c>
      <c r="B10" s="527" t="s">
        <v>489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ht="25.5" x14ac:dyDescent="0.2">
      <c r="A11" s="853"/>
      <c r="B11" s="848" t="s">
        <v>489</v>
      </c>
      <c r="C11" s="857">
        <f>E6</f>
        <v>1747</v>
      </c>
      <c r="D11" s="840" t="s">
        <v>730</v>
      </c>
      <c r="E11" s="841">
        <v>4.8499999999999996</v>
      </c>
      <c r="F11" s="842">
        <v>0</v>
      </c>
      <c r="G11" s="849"/>
      <c r="H11" s="844">
        <v>0</v>
      </c>
      <c r="I11" s="842">
        <f t="shared" ref="I11:I22" si="0">G11*H11</f>
        <v>0</v>
      </c>
      <c r="J11" s="845"/>
      <c r="K11" s="850">
        <f t="shared" ref="K11:K22" si="1">F11+I11+J11</f>
        <v>0</v>
      </c>
      <c r="L11" s="866" t="s">
        <v>1053</v>
      </c>
      <c r="M11" s="381">
        <v>4.8499999999999996</v>
      </c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ref="F12:F22" si="2">C12*E12</f>
        <v>0</v>
      </c>
      <c r="G12" s="531"/>
      <c r="H12" s="377">
        <v>0</v>
      </c>
      <c r="I12" s="375">
        <f t="shared" si="0"/>
        <v>0</v>
      </c>
      <c r="J12" s="378"/>
      <c r="K12" s="532">
        <f t="shared" si="1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2"/>
        <v>0</v>
      </c>
      <c r="G13" s="531"/>
      <c r="H13" s="377">
        <v>0</v>
      </c>
      <c r="I13" s="375">
        <f t="shared" si="0"/>
        <v>0</v>
      </c>
      <c r="J13" s="378"/>
      <c r="K13" s="532">
        <f t="shared" si="1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2"/>
        <v>0</v>
      </c>
      <c r="G14" s="531"/>
      <c r="H14" s="377">
        <v>0</v>
      </c>
      <c r="I14" s="375">
        <f t="shared" si="0"/>
        <v>0</v>
      </c>
      <c r="J14" s="378"/>
      <c r="K14" s="532">
        <f t="shared" si="1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2"/>
        <v>0</v>
      </c>
      <c r="G15" s="531"/>
      <c r="H15" s="377">
        <v>0</v>
      </c>
      <c r="I15" s="375">
        <f t="shared" si="0"/>
        <v>0</v>
      </c>
      <c r="J15" s="378"/>
      <c r="K15" s="532">
        <f t="shared" si="1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2"/>
        <v>0</v>
      </c>
      <c r="G16" s="531"/>
      <c r="H16" s="377">
        <v>0</v>
      </c>
      <c r="I16" s="375">
        <f t="shared" si="0"/>
        <v>0</v>
      </c>
      <c r="J16" s="378"/>
      <c r="K16" s="532">
        <f t="shared" si="1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2"/>
        <v>0</v>
      </c>
      <c r="G17" s="531"/>
      <c r="H17" s="377">
        <v>0</v>
      </c>
      <c r="I17" s="375">
        <f t="shared" si="0"/>
        <v>0</v>
      </c>
      <c r="J17" s="378"/>
      <c r="K17" s="532">
        <f t="shared" si="1"/>
        <v>0</v>
      </c>
      <c r="L17" s="157"/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2"/>
        <v>0</v>
      </c>
      <c r="G18" s="531"/>
      <c r="H18" s="377">
        <v>0</v>
      </c>
      <c r="I18" s="375">
        <f t="shared" si="0"/>
        <v>0</v>
      </c>
      <c r="J18" s="378"/>
      <c r="K18" s="532">
        <f t="shared" si="1"/>
        <v>0</v>
      </c>
      <c r="L18" s="157"/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2"/>
        <v>0</v>
      </c>
      <c r="G19" s="531"/>
      <c r="H19" s="377">
        <v>0</v>
      </c>
      <c r="I19" s="375">
        <f t="shared" si="0"/>
        <v>0</v>
      </c>
      <c r="J19" s="378"/>
      <c r="K19" s="532">
        <f t="shared" si="1"/>
        <v>0</v>
      </c>
      <c r="L19" s="538"/>
      <c r="M19" s="576"/>
      <c r="N19" s="539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2"/>
        <v>0</v>
      </c>
      <c r="G20" s="531"/>
      <c r="H20" s="377">
        <v>0</v>
      </c>
      <c r="I20" s="375">
        <f t="shared" si="0"/>
        <v>0</v>
      </c>
      <c r="J20" s="378"/>
      <c r="K20" s="532">
        <f t="shared" si="1"/>
        <v>0</v>
      </c>
      <c r="L20" s="540"/>
      <c r="M20" s="466"/>
      <c r="N20" s="54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2"/>
        <v>0</v>
      </c>
      <c r="G21" s="531"/>
      <c r="H21" s="377">
        <v>0</v>
      </c>
      <c r="I21" s="375">
        <f t="shared" si="0"/>
        <v>0</v>
      </c>
      <c r="J21" s="378"/>
      <c r="K21" s="532">
        <f t="shared" si="1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2"/>
        <v>0</v>
      </c>
      <c r="G22" s="531"/>
      <c r="H22" s="377">
        <v>0</v>
      </c>
      <c r="I22" s="375">
        <f t="shared" si="0"/>
        <v>0</v>
      </c>
      <c r="J22" s="378"/>
      <c r="K22" s="532">
        <f t="shared" si="1"/>
        <v>0</v>
      </c>
      <c r="L22" s="157"/>
      <c r="M22" s="471"/>
      <c r="O22" s="383"/>
      <c r="P22" s="384"/>
      <c r="Q22" s="385"/>
    </row>
    <row r="23" spans="1:17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O23" s="383"/>
      <c r="P23" s="384"/>
      <c r="Q23" s="385"/>
    </row>
    <row r="24" spans="1:17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157"/>
      <c r="M24" s="471"/>
      <c r="O24" s="383"/>
      <c r="P24" s="384"/>
      <c r="Q24" s="385"/>
    </row>
    <row r="25" spans="1:17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ht="15.75" x14ac:dyDescent="0.25">
      <c r="A26" s="527" t="s">
        <v>490</v>
      </c>
      <c r="B26" s="527" t="s">
        <v>491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ht="15" x14ac:dyDescent="0.2">
      <c r="A27" s="806" t="s">
        <v>492</v>
      </c>
      <c r="B27" s="806" t="s">
        <v>493</v>
      </c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M27" s="276"/>
      <c r="O27" s="383"/>
      <c r="P27" s="384"/>
      <c r="Q27" s="385"/>
    </row>
    <row r="28" spans="1:17" s="159" customFormat="1" ht="15" x14ac:dyDescent="0.2">
      <c r="A28" s="806" t="s">
        <v>494</v>
      </c>
      <c r="B28" s="806" t="s">
        <v>495</v>
      </c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M32" s="276"/>
      <c r="O32" s="383"/>
      <c r="P32" s="384"/>
      <c r="Q32" s="385"/>
    </row>
    <row r="33" spans="1:23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M33" s="276"/>
      <c r="O33" s="383"/>
      <c r="P33" s="384"/>
      <c r="Q33" s="385"/>
    </row>
    <row r="34" spans="1:23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23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23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23" s="159" customFormat="1" ht="16.5" thickBot="1" x14ac:dyDescent="0.3">
      <c r="A37" s="527" t="s">
        <v>496</v>
      </c>
      <c r="B37" s="527" t="s">
        <v>497</v>
      </c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23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23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M39" s="276"/>
      <c r="O39" s="412"/>
      <c r="P39" s="413"/>
      <c r="Q39" s="385"/>
    </row>
    <row r="40" spans="1:23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M40" s="276"/>
      <c r="O40" s="412"/>
      <c r="P40" s="413"/>
      <c r="Q40" s="385"/>
    </row>
    <row r="41" spans="1:23" s="159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23" s="159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M42" s="278"/>
      <c r="N42" s="157"/>
      <c r="O42" s="412"/>
      <c r="P42" s="413"/>
      <c r="Q42" s="385"/>
    </row>
    <row r="43" spans="1:23" s="159" customFormat="1" ht="15.7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M43" s="278"/>
      <c r="N43" s="157"/>
      <c r="O43" s="383"/>
      <c r="P43" s="384"/>
      <c r="Q43" s="385"/>
      <c r="V43" s="196"/>
      <c r="W43" s="196"/>
    </row>
    <row r="44" spans="1:23" s="159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23" s="159" customFormat="1" ht="16.5" thickBot="1" x14ac:dyDescent="0.3">
      <c r="A45" s="527" t="s">
        <v>498</v>
      </c>
      <c r="B45" s="527" t="s">
        <v>499</v>
      </c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23" s="159" customFormat="1" x14ac:dyDescent="0.2">
      <c r="A46" s="407"/>
      <c r="B46" s="408"/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23" s="159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538"/>
      <c r="M47" s="576"/>
      <c r="N47" s="539"/>
      <c r="O47" s="383"/>
      <c r="P47" s="384"/>
      <c r="Q47" s="385"/>
    </row>
    <row r="48" spans="1:23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540"/>
      <c r="M48" s="257"/>
      <c r="N48" s="423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s="159" customFormat="1" ht="13.5" thickTop="1" x14ac:dyDescent="0.2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157"/>
      <c r="M52" s="471"/>
      <c r="N52" s="157"/>
      <c r="O52" s="438"/>
      <c r="P52" s="439"/>
      <c r="Q52" s="385"/>
    </row>
    <row r="53" spans="1:17" s="159" customFormat="1" ht="13.5" thickBot="1" x14ac:dyDescent="0.25">
      <c r="A53" s="355" t="s">
        <v>0</v>
      </c>
      <c r="B53" s="356" t="s">
        <v>1</v>
      </c>
      <c r="C53" s="948" t="s">
        <v>656</v>
      </c>
      <c r="D53" s="948"/>
      <c r="E53" s="948"/>
      <c r="F53" s="948"/>
      <c r="G53" s="948" t="s">
        <v>34</v>
      </c>
      <c r="H53" s="948"/>
      <c r="I53" s="948"/>
      <c r="J53" s="357"/>
      <c r="K53" s="525"/>
      <c r="L53" s="393"/>
      <c r="M53" s="394"/>
      <c r="N53" s="395"/>
      <c r="O53" s="438"/>
      <c r="P53" s="439"/>
      <c r="Q53" s="385"/>
    </row>
    <row r="54" spans="1:17" s="159" customFormat="1" ht="16.5" thickBot="1" x14ac:dyDescent="0.3">
      <c r="A54" s="527" t="s">
        <v>500</v>
      </c>
      <c r="B54" s="527" t="s">
        <v>501</v>
      </c>
      <c r="C54" s="398" t="s">
        <v>19</v>
      </c>
      <c r="D54" s="399" t="s">
        <v>33</v>
      </c>
      <c r="E54" s="400" t="s">
        <v>35</v>
      </c>
      <c r="F54" s="401" t="s">
        <v>30</v>
      </c>
      <c r="G54" s="535" t="s">
        <v>14</v>
      </c>
      <c r="H54" s="400" t="s">
        <v>35</v>
      </c>
      <c r="I54" s="401" t="s">
        <v>30</v>
      </c>
      <c r="J54" s="366" t="s">
        <v>659</v>
      </c>
      <c r="K54" s="536" t="s">
        <v>38</v>
      </c>
      <c r="L54" s="404"/>
      <c r="M54" s="410"/>
      <c r="N54" s="411"/>
      <c r="O54" s="412"/>
      <c r="P54" s="413"/>
      <c r="Q54" s="385"/>
    </row>
    <row r="55" spans="1:17" s="159" customFormat="1" x14ac:dyDescent="0.2">
      <c r="A55" s="407"/>
      <c r="B55" s="408"/>
      <c r="C55" s="373"/>
      <c r="D55" s="374" t="s">
        <v>21</v>
      </c>
      <c r="E55" s="255">
        <v>0</v>
      </c>
      <c r="F55" s="375">
        <f t="shared" ref="F55:F61" si="6">C55*E55</f>
        <v>0</v>
      </c>
      <c r="G55" s="531"/>
      <c r="H55" s="377">
        <v>0</v>
      </c>
      <c r="I55" s="375">
        <f t="shared" ref="I55:I61" si="7">G55*H55</f>
        <v>0</v>
      </c>
      <c r="J55" s="378"/>
      <c r="K55" s="532">
        <f t="shared" ref="K55:K61" si="8">F55+I55+J55</f>
        <v>0</v>
      </c>
      <c r="M55" s="276"/>
      <c r="O55" s="383"/>
      <c r="P55" s="384"/>
      <c r="Q55" s="385"/>
    </row>
    <row r="56" spans="1:17" s="159" customFormat="1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L56" s="380"/>
      <c r="M56" s="257"/>
      <c r="N56" s="382"/>
      <c r="O56" s="383"/>
      <c r="P56" s="384"/>
      <c r="Q56" s="385"/>
    </row>
    <row r="57" spans="1:17" s="159" customFormat="1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L57" s="380"/>
      <c r="M57" s="257"/>
      <c r="N57" s="382"/>
      <c r="O57" s="383"/>
      <c r="P57" s="384"/>
      <c r="Q57" s="385"/>
    </row>
    <row r="58" spans="1:17" s="159" customFormat="1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s="159" customFormat="1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M59" s="276"/>
      <c r="O59" s="383"/>
      <c r="P59" s="384"/>
      <c r="Q59" s="385"/>
    </row>
    <row r="60" spans="1:17" s="159" customFormat="1" x14ac:dyDescent="0.2">
      <c r="A60" s="372"/>
      <c r="B60" s="5"/>
      <c r="C60" s="373"/>
      <c r="D60" s="374" t="s">
        <v>21</v>
      </c>
      <c r="E60" s="255">
        <v>0</v>
      </c>
      <c r="F60" s="375">
        <f t="shared" si="6"/>
        <v>0</v>
      </c>
      <c r="G60" s="531"/>
      <c r="H60" s="377">
        <v>0</v>
      </c>
      <c r="I60" s="375">
        <f t="shared" si="7"/>
        <v>0</v>
      </c>
      <c r="J60" s="378"/>
      <c r="K60" s="532">
        <f t="shared" si="8"/>
        <v>0</v>
      </c>
      <c r="M60" s="276"/>
      <c r="O60" s="383"/>
      <c r="P60" s="384"/>
      <c r="Q60" s="385"/>
    </row>
    <row r="61" spans="1:17" s="159" customFormat="1" x14ac:dyDescent="0.2">
      <c r="A61" s="372"/>
      <c r="B61" s="5"/>
      <c r="C61" s="373"/>
      <c r="D61" s="374" t="s">
        <v>21</v>
      </c>
      <c r="E61" s="255">
        <v>0</v>
      </c>
      <c r="F61" s="375">
        <f t="shared" si="6"/>
        <v>0</v>
      </c>
      <c r="G61" s="531"/>
      <c r="H61" s="377">
        <v>0</v>
      </c>
      <c r="I61" s="375">
        <f t="shared" si="7"/>
        <v>0</v>
      </c>
      <c r="J61" s="378"/>
      <c r="K61" s="532">
        <f t="shared" si="8"/>
        <v>0</v>
      </c>
      <c r="L61" s="380"/>
      <c r="M61" s="257"/>
      <c r="N61" s="423"/>
      <c r="O61" s="383"/>
      <c r="P61" s="384"/>
      <c r="Q61" s="385"/>
    </row>
    <row r="62" spans="1:17" s="159" customFormat="1" ht="13.5" thickBot="1" x14ac:dyDescent="0.25">
      <c r="A62" s="389"/>
      <c r="B62" s="5"/>
      <c r="C62" s="390"/>
      <c r="D62" s="374"/>
      <c r="E62" s="255"/>
      <c r="F62" s="375"/>
      <c r="G62" s="531"/>
      <c r="H62" s="377"/>
      <c r="I62" s="375"/>
      <c r="J62" s="378"/>
      <c r="K62" s="537"/>
      <c r="M62" s="278"/>
      <c r="N62" s="157"/>
      <c r="O62" s="383"/>
      <c r="P62" s="384"/>
      <c r="Q62" s="385"/>
    </row>
    <row r="63" spans="1:17" s="159" customFormat="1" ht="13.5" thickTop="1" x14ac:dyDescent="0.2">
      <c r="A63" s="389"/>
      <c r="B63" s="414"/>
      <c r="C63" s="390"/>
      <c r="D63" s="374"/>
      <c r="E63" s="255"/>
      <c r="F63" s="375"/>
      <c r="G63" s="531"/>
      <c r="H63" s="377"/>
      <c r="I63" s="375"/>
      <c r="J63" s="391" t="s">
        <v>30</v>
      </c>
      <c r="K63" s="534">
        <f>SUM(K55:K62)</f>
        <v>0</v>
      </c>
      <c r="M63" s="278"/>
      <c r="N63" s="157"/>
      <c r="O63" s="383"/>
      <c r="P63" s="384"/>
      <c r="Q63" s="385"/>
    </row>
    <row r="64" spans="1:17" s="159" customFormat="1" ht="13.5" thickBot="1" x14ac:dyDescent="0.25">
      <c r="A64" s="355" t="s">
        <v>0</v>
      </c>
      <c r="B64" s="356" t="s">
        <v>1</v>
      </c>
      <c r="C64" s="948" t="s">
        <v>656</v>
      </c>
      <c r="D64" s="948"/>
      <c r="E64" s="948"/>
      <c r="F64" s="948"/>
      <c r="G64" s="948" t="s">
        <v>34</v>
      </c>
      <c r="H64" s="948"/>
      <c r="I64" s="948"/>
      <c r="J64" s="357"/>
      <c r="K64" s="525"/>
      <c r="L64" s="393"/>
      <c r="M64" s="394"/>
      <c r="N64" s="395"/>
      <c r="O64" s="383"/>
      <c r="P64" s="384"/>
      <c r="Q64" s="385"/>
    </row>
    <row r="65" spans="1:17" s="159" customFormat="1" ht="16.5" thickBot="1" x14ac:dyDescent="0.3">
      <c r="A65" s="396"/>
      <c r="B65" s="397"/>
      <c r="C65" s="398" t="s">
        <v>19</v>
      </c>
      <c r="D65" s="399" t="s">
        <v>33</v>
      </c>
      <c r="E65" s="400" t="s">
        <v>35</v>
      </c>
      <c r="F65" s="401" t="s">
        <v>30</v>
      </c>
      <c r="G65" s="535" t="s">
        <v>14</v>
      </c>
      <c r="H65" s="400" t="s">
        <v>35</v>
      </c>
      <c r="I65" s="401" t="s">
        <v>30</v>
      </c>
      <c r="J65" s="366" t="s">
        <v>659</v>
      </c>
      <c r="K65" s="536" t="s">
        <v>38</v>
      </c>
      <c r="L65" s="404"/>
      <c r="M65" s="410"/>
      <c r="N65" s="411"/>
      <c r="O65" s="383"/>
      <c r="P65" s="384"/>
      <c r="Q65" s="385"/>
    </row>
    <row r="66" spans="1:17" s="159" customFormat="1" x14ac:dyDescent="0.2">
      <c r="A66" s="407"/>
      <c r="B66" s="408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L66" s="380"/>
      <c r="M66" s="381"/>
      <c r="N66" s="382"/>
      <c r="O66" s="383"/>
      <c r="P66" s="384"/>
      <c r="Q66" s="385"/>
    </row>
    <row r="67" spans="1:17" s="159" customFormat="1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s="159" customFormat="1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M68" s="276"/>
      <c r="O68" s="383"/>
      <c r="P68" s="384"/>
      <c r="Q68" s="385"/>
    </row>
    <row r="69" spans="1:17" s="159" customFormat="1" x14ac:dyDescent="0.2">
      <c r="A69" s="372"/>
      <c r="B69" s="5"/>
      <c r="C69" s="373"/>
      <c r="D69" s="374" t="s">
        <v>21</v>
      </c>
      <c r="E69" s="255">
        <v>0</v>
      </c>
      <c r="F69" s="375">
        <f>C69*E69</f>
        <v>0</v>
      </c>
      <c r="G69" s="531"/>
      <c r="H69" s="377">
        <v>0</v>
      </c>
      <c r="I69" s="375">
        <f>G69*H69</f>
        <v>0</v>
      </c>
      <c r="J69" s="378"/>
      <c r="K69" s="532">
        <f>F69+I69+J69</f>
        <v>0</v>
      </c>
      <c r="M69" s="276"/>
      <c r="O69" s="383"/>
      <c r="P69" s="384"/>
      <c r="Q69" s="385"/>
    </row>
    <row r="70" spans="1:17" s="159" customFormat="1" x14ac:dyDescent="0.2">
      <c r="A70" s="372"/>
      <c r="B70" s="5"/>
      <c r="C70" s="373"/>
      <c r="D70" s="374" t="s">
        <v>21</v>
      </c>
      <c r="E70" s="255">
        <v>0</v>
      </c>
      <c r="F70" s="375">
        <f>C70*E70</f>
        <v>0</v>
      </c>
      <c r="G70" s="531"/>
      <c r="H70" s="377">
        <v>0</v>
      </c>
      <c r="I70" s="375">
        <f>G70*H70</f>
        <v>0</v>
      </c>
      <c r="J70" s="378"/>
      <c r="K70" s="532">
        <f>F70+I70+J70</f>
        <v>0</v>
      </c>
      <c r="M70" s="278"/>
      <c r="N70" s="157"/>
      <c r="O70" s="383"/>
      <c r="P70" s="384"/>
      <c r="Q70" s="385"/>
    </row>
    <row r="71" spans="1:17" s="159" customFormat="1" ht="13.5" thickBot="1" x14ac:dyDescent="0.25">
      <c r="A71" s="389"/>
      <c r="B71" s="5"/>
      <c r="C71" s="390"/>
      <c r="D71" s="374"/>
      <c r="E71" s="255"/>
      <c r="F71" s="375"/>
      <c r="G71" s="531"/>
      <c r="H71" s="377"/>
      <c r="I71" s="375"/>
      <c r="J71" s="378"/>
      <c r="K71" s="537"/>
      <c r="M71" s="278"/>
      <c r="N71" s="157"/>
      <c r="O71" s="383"/>
      <c r="P71" s="384"/>
      <c r="Q71" s="385"/>
    </row>
    <row r="72" spans="1:17" s="159" customFormat="1" ht="13.5" thickTop="1" x14ac:dyDescent="0.2">
      <c r="A72" s="389"/>
      <c r="B72" s="414"/>
      <c r="C72" s="390"/>
      <c r="D72" s="374"/>
      <c r="E72" s="255"/>
      <c r="F72" s="375"/>
      <c r="G72" s="531"/>
      <c r="H72" s="377"/>
      <c r="I72" s="375"/>
      <c r="J72" s="391" t="s">
        <v>30</v>
      </c>
      <c r="K72" s="534">
        <f>SUM(K66:K71)</f>
        <v>0</v>
      </c>
      <c r="M72" s="276"/>
      <c r="O72" s="383"/>
      <c r="P72" s="384"/>
      <c r="Q72" s="385"/>
    </row>
    <row r="73" spans="1:17" s="159" customFormat="1" ht="13.5" thickBot="1" x14ac:dyDescent="0.25">
      <c r="A73" s="355" t="s">
        <v>0</v>
      </c>
      <c r="B73" s="356" t="s">
        <v>1</v>
      </c>
      <c r="C73" s="948" t="s">
        <v>656</v>
      </c>
      <c r="D73" s="948"/>
      <c r="E73" s="948"/>
      <c r="F73" s="948"/>
      <c r="G73" s="948" t="s">
        <v>34</v>
      </c>
      <c r="H73" s="948"/>
      <c r="I73" s="948"/>
      <c r="J73" s="357"/>
      <c r="K73" s="525"/>
      <c r="L73" s="393"/>
      <c r="M73" s="357"/>
      <c r="N73" s="440"/>
      <c r="O73" s="383"/>
      <c r="P73" s="384"/>
      <c r="Q73" s="385"/>
    </row>
    <row r="74" spans="1:17" s="159" customFormat="1" ht="16.5" thickBot="1" x14ac:dyDescent="0.3">
      <c r="A74" s="396"/>
      <c r="B74" s="397"/>
      <c r="C74" s="398" t="s">
        <v>19</v>
      </c>
      <c r="D74" s="399" t="s">
        <v>33</v>
      </c>
      <c r="E74" s="400" t="s">
        <v>35</v>
      </c>
      <c r="F74" s="401" t="s">
        <v>30</v>
      </c>
      <c r="G74" s="535" t="s">
        <v>14</v>
      </c>
      <c r="H74" s="400" t="s">
        <v>35</v>
      </c>
      <c r="I74" s="401" t="s">
        <v>30</v>
      </c>
      <c r="J74" s="366" t="s">
        <v>659</v>
      </c>
      <c r="K74" s="536" t="s">
        <v>38</v>
      </c>
      <c r="L74" s="404"/>
      <c r="M74" s="410"/>
      <c r="N74" s="411"/>
      <c r="O74" s="383"/>
      <c r="P74" s="384"/>
      <c r="Q74" s="385"/>
    </row>
    <row r="75" spans="1:17" s="159" customFormat="1" x14ac:dyDescent="0.2">
      <c r="A75" s="407"/>
      <c r="B75" s="408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M75" s="276"/>
      <c r="O75" s="383"/>
      <c r="P75" s="384"/>
      <c r="Q75" s="385"/>
    </row>
    <row r="76" spans="1:17" s="159" customFormat="1" x14ac:dyDescent="0.2">
      <c r="A76" s="372"/>
      <c r="B76" s="5"/>
      <c r="C76" s="373"/>
      <c r="D76" s="374" t="s">
        <v>21</v>
      </c>
      <c r="E76" s="255">
        <v>0</v>
      </c>
      <c r="F76" s="375">
        <f>C76*E76</f>
        <v>0</v>
      </c>
      <c r="G76" s="531"/>
      <c r="H76" s="377">
        <v>0</v>
      </c>
      <c r="I76" s="375">
        <f>G76*H76</f>
        <v>0</v>
      </c>
      <c r="J76" s="378"/>
      <c r="K76" s="532">
        <f>F76+I76+J76</f>
        <v>0</v>
      </c>
      <c r="M76" s="276"/>
      <c r="O76" s="383"/>
      <c r="P76" s="384"/>
      <c r="Q76" s="385"/>
    </row>
    <row r="77" spans="1:17" s="159" customFormat="1" x14ac:dyDescent="0.2">
      <c r="A77" s="372"/>
      <c r="B77" s="5"/>
      <c r="C77" s="373"/>
      <c r="D77" s="374" t="s">
        <v>21</v>
      </c>
      <c r="E77" s="255">
        <v>0</v>
      </c>
      <c r="F77" s="375">
        <f>C77*E77</f>
        <v>0</v>
      </c>
      <c r="G77" s="531"/>
      <c r="H77" s="377">
        <v>0</v>
      </c>
      <c r="I77" s="375">
        <f>G77*H77</f>
        <v>0</v>
      </c>
      <c r="J77" s="378"/>
      <c r="K77" s="532">
        <f>F77+I77+J77</f>
        <v>0</v>
      </c>
      <c r="L77" s="666"/>
      <c r="M77" s="668"/>
      <c r="N77" s="667"/>
      <c r="O77" s="383"/>
      <c r="P77" s="384"/>
      <c r="Q77" s="385"/>
    </row>
    <row r="78" spans="1:17" s="159" customFormat="1" ht="13.5" thickBot="1" x14ac:dyDescent="0.25">
      <c r="A78" s="389"/>
      <c r="B78" s="5"/>
      <c r="C78" s="390"/>
      <c r="D78" s="374"/>
      <c r="E78" s="255"/>
      <c r="F78" s="375"/>
      <c r="G78" s="531"/>
      <c r="H78" s="377"/>
      <c r="I78" s="375"/>
      <c r="J78" s="378"/>
      <c r="K78" s="537"/>
      <c r="L78" s="380"/>
      <c r="M78" s="381"/>
      <c r="N78" s="382"/>
      <c r="O78" s="383"/>
      <c r="P78" s="384"/>
      <c r="Q78" s="385"/>
    </row>
    <row r="79" spans="1:17" s="159" customFormat="1" ht="13.5" thickTop="1" x14ac:dyDescent="0.2">
      <c r="A79" s="389"/>
      <c r="B79" s="157"/>
      <c r="C79" s="390"/>
      <c r="D79" s="374"/>
      <c r="E79" s="255"/>
      <c r="F79" s="375"/>
      <c r="G79" s="531"/>
      <c r="H79" s="377"/>
      <c r="I79" s="375"/>
      <c r="J79" s="391" t="s">
        <v>30</v>
      </c>
      <c r="K79" s="534">
        <f>SUM(K75:K78)</f>
        <v>0</v>
      </c>
      <c r="L79" s="380"/>
      <c r="M79" s="381"/>
      <c r="N79" s="382"/>
      <c r="O79" s="383"/>
      <c r="P79" s="384"/>
      <c r="Q79" s="385"/>
    </row>
    <row r="80" spans="1:17" s="159" customFormat="1" ht="13.5" thickBot="1" x14ac:dyDescent="0.25">
      <c r="A80" s="355" t="s">
        <v>0</v>
      </c>
      <c r="B80" s="356" t="s">
        <v>1</v>
      </c>
      <c r="C80" s="948" t="s">
        <v>656</v>
      </c>
      <c r="D80" s="948"/>
      <c r="E80" s="948"/>
      <c r="F80" s="948"/>
      <c r="G80" s="948" t="s">
        <v>34</v>
      </c>
      <c r="H80" s="948"/>
      <c r="I80" s="948"/>
      <c r="J80" s="357"/>
      <c r="K80" s="525"/>
      <c r="L80" s="393"/>
      <c r="M80" s="394"/>
      <c r="N80" s="395"/>
      <c r="O80" s="383"/>
      <c r="P80" s="384"/>
      <c r="Q80" s="385"/>
    </row>
    <row r="81" spans="1:17" s="159" customFormat="1" ht="16.5" thickBot="1" x14ac:dyDescent="0.3">
      <c r="A81" s="396"/>
      <c r="B81" s="397"/>
      <c r="C81" s="398" t="s">
        <v>19</v>
      </c>
      <c r="D81" s="399" t="s">
        <v>33</v>
      </c>
      <c r="E81" s="400" t="s">
        <v>35</v>
      </c>
      <c r="F81" s="401" t="s">
        <v>30</v>
      </c>
      <c r="G81" s="535" t="s">
        <v>14</v>
      </c>
      <c r="H81" s="400" t="s">
        <v>35</v>
      </c>
      <c r="I81" s="401" t="s">
        <v>30</v>
      </c>
      <c r="J81" s="366" t="s">
        <v>659</v>
      </c>
      <c r="K81" s="536" t="s">
        <v>38</v>
      </c>
      <c r="L81" s="404"/>
      <c r="M81" s="405"/>
      <c r="N81" s="406"/>
      <c r="O81" s="383"/>
      <c r="P81" s="384"/>
      <c r="Q81" s="385"/>
    </row>
    <row r="82" spans="1:17" s="159" customFormat="1" x14ac:dyDescent="0.2">
      <c r="A82" s="407"/>
      <c r="B82" s="408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x14ac:dyDescent="0.2">
      <c r="A84" s="372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M84" s="276"/>
      <c r="O84" s="383"/>
      <c r="P84" s="384"/>
      <c r="Q84" s="385"/>
    </row>
    <row r="85" spans="1:17" s="159" customFormat="1" x14ac:dyDescent="0.2">
      <c r="A85" s="372"/>
      <c r="B85" s="5"/>
      <c r="C85" s="373"/>
      <c r="D85" s="374" t="s">
        <v>21</v>
      </c>
      <c r="E85" s="255">
        <v>0</v>
      </c>
      <c r="F85" s="375">
        <f>C85*E85</f>
        <v>0</v>
      </c>
      <c r="G85" s="531"/>
      <c r="H85" s="377">
        <v>0</v>
      </c>
      <c r="I85" s="375">
        <f>G85*H85</f>
        <v>0</v>
      </c>
      <c r="J85" s="378"/>
      <c r="K85" s="532">
        <f>F85+I85+J85</f>
        <v>0</v>
      </c>
      <c r="M85" s="276"/>
      <c r="O85" s="383"/>
      <c r="P85" s="384"/>
      <c r="Q85" s="385"/>
    </row>
    <row r="86" spans="1:17" s="159" customFormat="1" x14ac:dyDescent="0.2">
      <c r="A86" s="372"/>
      <c r="B86" s="5"/>
      <c r="C86" s="373"/>
      <c r="D86" s="374" t="s">
        <v>21</v>
      </c>
      <c r="E86" s="255">
        <v>0</v>
      </c>
      <c r="F86" s="375">
        <f>C86*E86</f>
        <v>0</v>
      </c>
      <c r="G86" s="531"/>
      <c r="H86" s="377">
        <v>0</v>
      </c>
      <c r="I86" s="375">
        <f>G86*H86</f>
        <v>0</v>
      </c>
      <c r="J86" s="378"/>
      <c r="K86" s="532">
        <f>F86+I86+J86</f>
        <v>0</v>
      </c>
      <c r="M86" s="276"/>
      <c r="O86" s="383"/>
      <c r="P86" s="384"/>
      <c r="Q86" s="385"/>
    </row>
    <row r="87" spans="1:17" s="159" customFormat="1" ht="13.5" thickBot="1" x14ac:dyDescent="0.25">
      <c r="A87" s="389"/>
      <c r="B87" s="5"/>
      <c r="C87" s="390"/>
      <c r="D87" s="374"/>
      <c r="E87" s="255"/>
      <c r="F87" s="375"/>
      <c r="G87" s="531"/>
      <c r="H87" s="377"/>
      <c r="I87" s="375"/>
      <c r="J87" s="378"/>
      <c r="K87" s="537"/>
      <c r="M87" s="276"/>
      <c r="O87" s="383"/>
      <c r="P87" s="384"/>
      <c r="Q87" s="385"/>
    </row>
    <row r="88" spans="1:17" s="159" customFormat="1" ht="13.5" thickTop="1" x14ac:dyDescent="0.2">
      <c r="A88" s="389"/>
      <c r="B88" s="414"/>
      <c r="C88" s="390"/>
      <c r="D88" s="374"/>
      <c r="E88" s="255"/>
      <c r="F88" s="375"/>
      <c r="G88" s="531"/>
      <c r="H88" s="377"/>
      <c r="I88" s="375"/>
      <c r="J88" s="391" t="s">
        <v>30</v>
      </c>
      <c r="K88" s="534">
        <f>SUM(K82:K87)</f>
        <v>0</v>
      </c>
      <c r="M88" s="278"/>
      <c r="N88" s="157"/>
      <c r="O88" s="383"/>
      <c r="P88" s="384"/>
      <c r="Q88" s="385"/>
    </row>
    <row r="89" spans="1:17" s="159" customFormat="1" ht="13.5" thickBot="1" x14ac:dyDescent="0.25">
      <c r="A89" s="355" t="s">
        <v>0</v>
      </c>
      <c r="B89" s="356" t="s">
        <v>1</v>
      </c>
      <c r="C89" s="948" t="s">
        <v>656</v>
      </c>
      <c r="D89" s="948"/>
      <c r="E89" s="948"/>
      <c r="F89" s="948"/>
      <c r="G89" s="948" t="s">
        <v>34</v>
      </c>
      <c r="H89" s="948"/>
      <c r="I89" s="948"/>
      <c r="J89" s="357"/>
      <c r="K89" s="525"/>
      <c r="L89" s="393"/>
      <c r="M89" s="394"/>
      <c r="N89" s="395"/>
      <c r="O89" s="383"/>
      <c r="P89" s="384"/>
      <c r="Q89" s="385"/>
    </row>
    <row r="90" spans="1:17" s="159" customFormat="1" ht="16.5" thickBot="1" x14ac:dyDescent="0.3">
      <c r="A90" s="396"/>
      <c r="B90" s="397"/>
      <c r="C90" s="398" t="s">
        <v>19</v>
      </c>
      <c r="D90" s="399" t="s">
        <v>33</v>
      </c>
      <c r="E90" s="400" t="s">
        <v>35</v>
      </c>
      <c r="F90" s="401" t="s">
        <v>30</v>
      </c>
      <c r="G90" s="535" t="s">
        <v>14</v>
      </c>
      <c r="H90" s="400" t="s">
        <v>35</v>
      </c>
      <c r="I90" s="401" t="s">
        <v>30</v>
      </c>
      <c r="J90" s="366" t="s">
        <v>659</v>
      </c>
      <c r="K90" s="536" t="s">
        <v>38</v>
      </c>
      <c r="L90" s="404"/>
      <c r="M90" s="405"/>
      <c r="N90" s="406"/>
      <c r="O90" s="383"/>
      <c r="P90" s="384"/>
      <c r="Q90" s="385"/>
    </row>
    <row r="91" spans="1:17" s="159" customFormat="1" x14ac:dyDescent="0.2">
      <c r="A91" s="407"/>
      <c r="B91" s="408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M91" s="276"/>
      <c r="O91" s="383"/>
      <c r="P91" s="384"/>
      <c r="Q91" s="385"/>
    </row>
    <row r="92" spans="1:17" s="159" customFormat="1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538"/>
      <c r="M92" s="576"/>
      <c r="N92" s="539"/>
      <c r="O92" s="383"/>
      <c r="P92" s="384"/>
      <c r="Q92" s="385"/>
    </row>
    <row r="93" spans="1:17" s="159" customFormat="1" x14ac:dyDescent="0.2">
      <c r="A93" s="372"/>
      <c r="B93" s="5"/>
      <c r="C93" s="373"/>
      <c r="D93" s="374" t="s">
        <v>21</v>
      </c>
      <c r="E93" s="255">
        <v>0</v>
      </c>
      <c r="F93" s="375">
        <f>C93*E93</f>
        <v>0</v>
      </c>
      <c r="G93" s="531"/>
      <c r="H93" s="377">
        <v>0</v>
      </c>
      <c r="I93" s="375">
        <f>G93*H93</f>
        <v>0</v>
      </c>
      <c r="J93" s="378"/>
      <c r="K93" s="532">
        <f>F93+I93+J93</f>
        <v>0</v>
      </c>
      <c r="L93" s="540"/>
      <c r="M93" s="466"/>
      <c r="N93" s="541"/>
      <c r="O93" s="383"/>
      <c r="P93" s="384"/>
      <c r="Q93" s="385"/>
    </row>
    <row r="94" spans="1:17" s="159" customFormat="1" x14ac:dyDescent="0.2">
      <c r="A94" s="372"/>
      <c r="B94" s="5"/>
      <c r="C94" s="373"/>
      <c r="D94" s="374" t="s">
        <v>21</v>
      </c>
      <c r="E94" s="255">
        <v>0</v>
      </c>
      <c r="F94" s="375">
        <f>C94*E94</f>
        <v>0</v>
      </c>
      <c r="G94" s="531"/>
      <c r="H94" s="377">
        <v>0</v>
      </c>
      <c r="I94" s="375">
        <f>G94*H94</f>
        <v>0</v>
      </c>
      <c r="J94" s="378"/>
      <c r="K94" s="532">
        <f>F94+I94+J94</f>
        <v>0</v>
      </c>
      <c r="L94" s="669"/>
      <c r="M94" s="670"/>
      <c r="N94" s="672"/>
      <c r="O94" s="383"/>
      <c r="P94" s="384"/>
      <c r="Q94" s="385"/>
    </row>
    <row r="95" spans="1:17" s="159" customFormat="1" ht="13.5" thickBot="1" x14ac:dyDescent="0.25">
      <c r="A95" s="389"/>
      <c r="B95" s="414"/>
      <c r="C95" s="373"/>
      <c r="D95" s="374"/>
      <c r="E95" s="255"/>
      <c r="F95" s="375"/>
      <c r="G95" s="531"/>
      <c r="H95" s="377"/>
      <c r="I95" s="375"/>
      <c r="J95" s="378"/>
      <c r="K95" s="532"/>
      <c r="L95" s="669"/>
      <c r="M95" s="670"/>
      <c r="N95" s="672"/>
      <c r="O95" s="383"/>
      <c r="P95" s="384"/>
      <c r="Q95" s="385"/>
    </row>
    <row r="96" spans="1:17" s="159" customFormat="1" ht="14.25" thickTop="1" thickBot="1" x14ac:dyDescent="0.25">
      <c r="A96" s="472"/>
      <c r="B96" s="156"/>
      <c r="C96" s="473"/>
      <c r="D96" s="474"/>
      <c r="E96" s="475"/>
      <c r="F96" s="476"/>
      <c r="G96" s="636"/>
      <c r="H96" s="475"/>
      <c r="I96" s="476"/>
      <c r="J96" s="478" t="s">
        <v>30</v>
      </c>
      <c r="K96" s="637">
        <f>SUM(K91:K95)</f>
        <v>0</v>
      </c>
      <c r="L96" s="673"/>
      <c r="M96" s="674"/>
      <c r="N96" s="675"/>
      <c r="O96" s="462"/>
      <c r="P96" s="463"/>
      <c r="Q96" s="464"/>
    </row>
    <row r="97" spans="1:16" s="159" customFormat="1" ht="14.1" customHeight="1" x14ac:dyDescent="0.25">
      <c r="A97" s="480"/>
      <c r="B97" s="481"/>
      <c r="C97" s="482"/>
      <c r="D97" s="482"/>
      <c r="E97" s="483"/>
      <c r="F97" s="978" t="s">
        <v>658</v>
      </c>
      <c r="G97" s="1001" t="s">
        <v>682</v>
      </c>
      <c r="H97" s="483"/>
      <c r="I97" s="971" t="s">
        <v>657</v>
      </c>
      <c r="J97" s="967" t="s">
        <v>683</v>
      </c>
      <c r="K97" s="965" t="s">
        <v>31</v>
      </c>
      <c r="M97" s="278"/>
      <c r="N97" s="157"/>
      <c r="O97" s="304"/>
      <c r="P97" s="304"/>
    </row>
    <row r="98" spans="1:16" s="159" customFormat="1" ht="15" x14ac:dyDescent="0.2">
      <c r="A98" s="484" t="s">
        <v>32</v>
      </c>
      <c r="B98" s="973" t="s">
        <v>673</v>
      </c>
      <c r="C98" s="485"/>
      <c r="D98" s="486"/>
      <c r="E98" s="486"/>
      <c r="F98" s="979"/>
      <c r="G98" s="1002"/>
      <c r="H98" s="487"/>
      <c r="I98" s="972"/>
      <c r="J98" s="968"/>
      <c r="K98" s="966"/>
      <c r="M98" s="278"/>
      <c r="N98" s="157"/>
      <c r="O98" s="304"/>
      <c r="P98" s="304"/>
    </row>
    <row r="99" spans="1:16" s="159" customFormat="1" ht="15" x14ac:dyDescent="0.25">
      <c r="A99" s="488">
        <f>K99/E6</f>
        <v>0</v>
      </c>
      <c r="B99" s="973"/>
      <c r="C99" s="486"/>
      <c r="D99" s="486"/>
      <c r="E99" s="486"/>
      <c r="F99" s="961">
        <f>SUM(F91:F95,F82:F87,F75:F78,F66:F71,F55:F61,F46:F51,F38:F42,F27:F34,F11:F23)</f>
        <v>0</v>
      </c>
      <c r="G99" s="1006">
        <f>SUM(G91:G95,G82:G87,G75:G78,G66:G71,G55:G61,G46:G51,G38:G42,G27:G34,G11:G23)</f>
        <v>0</v>
      </c>
      <c r="H99" s="487"/>
      <c r="I99" s="961">
        <f>SUM(I91:I95,I82:I87,I75:I78,I66:I71,I55:I61,I46:I51,I38:I42,I27:I34,I11:I23)</f>
        <v>0</v>
      </c>
      <c r="J99" s="961">
        <f>SUM(J91:J95,J82:J87,J75:J78,J66:J71,J55:J61,J46:J51,J38:J42,J27:J34,J11:J23)</f>
        <v>0</v>
      </c>
      <c r="K99" s="963">
        <f>K96+K88+K79+K72+K63+K52+K43+K35+K24</f>
        <v>0</v>
      </c>
      <c r="M99" s="278"/>
      <c r="N99" s="157"/>
      <c r="O99" s="304"/>
      <c r="P99" s="304"/>
    </row>
    <row r="100" spans="1:16" s="159" customFormat="1" ht="14.25" x14ac:dyDescent="0.2">
      <c r="A100" s="484"/>
      <c r="B100" s="552"/>
      <c r="C100" s="552"/>
      <c r="D100" s="552"/>
      <c r="E100" s="552"/>
      <c r="F100" s="961"/>
      <c r="G100" s="1006"/>
      <c r="H100" s="552"/>
      <c r="I100" s="961"/>
      <c r="J100" s="961"/>
      <c r="K100" s="963"/>
      <c r="M100" s="278"/>
      <c r="N100" s="157"/>
      <c r="O100" s="304"/>
      <c r="P100" s="304"/>
    </row>
    <row r="101" spans="1:16" s="159" customFormat="1" ht="13.5" thickBot="1" x14ac:dyDescent="0.25">
      <c r="A101" s="491"/>
      <c r="B101" s="492"/>
      <c r="C101" s="492"/>
      <c r="D101" s="492"/>
      <c r="E101" s="492"/>
      <c r="F101" s="492"/>
      <c r="G101" s="492"/>
      <c r="H101" s="492"/>
      <c r="I101" s="492"/>
      <c r="J101" s="492"/>
      <c r="K101" s="493"/>
      <c r="M101" s="278"/>
      <c r="N101" s="157"/>
      <c r="O101" s="304"/>
      <c r="P101" s="304"/>
    </row>
    <row r="102" spans="1:16" s="159" customFormat="1" x14ac:dyDescent="0.2">
      <c r="C102" s="657"/>
      <c r="D102" s="657"/>
      <c r="J102" s="276"/>
      <c r="M102" s="278"/>
      <c r="N102" s="157"/>
      <c r="O102" s="304"/>
      <c r="P102" s="304"/>
    </row>
    <row r="103" spans="1:16" s="159" customFormat="1" x14ac:dyDescent="0.2">
      <c r="C103" s="657"/>
      <c r="D103" s="657"/>
      <c r="J103" s="276"/>
      <c r="M103" s="278"/>
      <c r="N103" s="157"/>
      <c r="O103" s="304"/>
      <c r="P103" s="304"/>
    </row>
    <row r="104" spans="1:16" s="159" customFormat="1" x14ac:dyDescent="0.2">
      <c r="C104" s="657"/>
      <c r="D104" s="657"/>
      <c r="J104" s="276"/>
      <c r="M104" s="278"/>
      <c r="N104" s="157"/>
      <c r="O104" s="304"/>
      <c r="P104" s="304"/>
    </row>
    <row r="105" spans="1:16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1:16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1:16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1:16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1:16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1:16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1:16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1:16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  <row r="235" spans="3:16" s="159" customFormat="1" x14ac:dyDescent="0.2">
      <c r="C235" s="657"/>
      <c r="D235" s="657"/>
      <c r="J235" s="276"/>
      <c r="M235" s="278"/>
      <c r="N235" s="157"/>
      <c r="O235" s="304"/>
      <c r="P235" s="304"/>
    </row>
    <row r="236" spans="3:16" s="159" customFormat="1" x14ac:dyDescent="0.2">
      <c r="C236" s="657"/>
      <c r="D236" s="657"/>
      <c r="J236" s="276"/>
      <c r="M236" s="278"/>
      <c r="N236" s="157"/>
      <c r="O236" s="304"/>
      <c r="P236" s="304"/>
    </row>
    <row r="237" spans="3:16" s="159" customFormat="1" x14ac:dyDescent="0.2">
      <c r="C237" s="657"/>
      <c r="D237" s="657"/>
      <c r="J237" s="276"/>
      <c r="M237" s="278"/>
      <c r="N237" s="157"/>
      <c r="O237" s="304"/>
      <c r="P237" s="304"/>
    </row>
    <row r="238" spans="3:16" s="159" customFormat="1" x14ac:dyDescent="0.2">
      <c r="C238" s="657"/>
      <c r="D238" s="657"/>
      <c r="J238" s="276"/>
      <c r="M238" s="278"/>
      <c r="N238" s="157"/>
      <c r="O238" s="304"/>
      <c r="P238" s="304"/>
    </row>
    <row r="239" spans="3:16" s="159" customFormat="1" x14ac:dyDescent="0.2">
      <c r="C239" s="657"/>
      <c r="D239" s="657"/>
      <c r="J239" s="276"/>
      <c r="M239" s="278"/>
      <c r="N239" s="157"/>
      <c r="O239" s="304"/>
      <c r="P239" s="304"/>
    </row>
    <row r="240" spans="3:16" s="159" customFormat="1" x14ac:dyDescent="0.2">
      <c r="C240" s="657"/>
      <c r="D240" s="657"/>
      <c r="J240" s="276"/>
      <c r="M240" s="278"/>
      <c r="N240" s="157"/>
      <c r="O240" s="304"/>
      <c r="P240" s="304"/>
    </row>
    <row r="241" spans="3:16" s="159" customFormat="1" x14ac:dyDescent="0.2">
      <c r="C241" s="657"/>
      <c r="D241" s="657"/>
      <c r="J241" s="276"/>
      <c r="M241" s="278"/>
      <c r="N241" s="157"/>
      <c r="O241" s="304"/>
      <c r="P241" s="304"/>
    </row>
    <row r="242" spans="3:16" s="159" customFormat="1" x14ac:dyDescent="0.2">
      <c r="C242" s="657"/>
      <c r="D242" s="657"/>
      <c r="J242" s="276"/>
      <c r="M242" s="278"/>
      <c r="N242" s="157"/>
      <c r="O242" s="304"/>
      <c r="P242" s="304"/>
    </row>
    <row r="243" spans="3:16" s="159" customFormat="1" x14ac:dyDescent="0.2">
      <c r="C243" s="657"/>
      <c r="D243" s="657"/>
      <c r="J243" s="276"/>
      <c r="M243" s="278"/>
      <c r="N243" s="157"/>
      <c r="O243" s="304"/>
      <c r="P243" s="304"/>
    </row>
    <row r="244" spans="3:16" s="159" customFormat="1" x14ac:dyDescent="0.2">
      <c r="C244" s="657"/>
      <c r="D244" s="657"/>
      <c r="J244" s="276"/>
      <c r="M244" s="278"/>
      <c r="N244" s="157"/>
      <c r="O244" s="304"/>
      <c r="P244" s="304"/>
    </row>
    <row r="245" spans="3:16" s="159" customFormat="1" x14ac:dyDescent="0.2">
      <c r="C245" s="657"/>
      <c r="D245" s="657"/>
      <c r="J245" s="276"/>
      <c r="M245" s="278"/>
      <c r="N245" s="157"/>
      <c r="O245" s="304"/>
      <c r="P245" s="304"/>
    </row>
    <row r="246" spans="3:16" s="159" customFormat="1" x14ac:dyDescent="0.2">
      <c r="C246" s="657"/>
      <c r="D246" s="657"/>
      <c r="J246" s="276"/>
      <c r="M246" s="278"/>
      <c r="N246" s="157"/>
      <c r="O246" s="304"/>
      <c r="P246" s="304"/>
    </row>
    <row r="247" spans="3:16" s="159" customFormat="1" x14ac:dyDescent="0.2">
      <c r="C247" s="657"/>
      <c r="D247" s="657"/>
      <c r="J247" s="276"/>
      <c r="M247" s="278"/>
      <c r="N247" s="157"/>
      <c r="O247" s="304"/>
      <c r="P247" s="304"/>
    </row>
    <row r="248" spans="3:16" s="159" customFormat="1" x14ac:dyDescent="0.2">
      <c r="C248" s="657"/>
      <c r="D248" s="657"/>
      <c r="J248" s="276"/>
      <c r="M248" s="278"/>
      <c r="N248" s="157"/>
      <c r="O248" s="304"/>
      <c r="P248" s="304"/>
    </row>
    <row r="249" spans="3:16" s="159" customFormat="1" x14ac:dyDescent="0.2">
      <c r="C249" s="657"/>
      <c r="D249" s="657"/>
      <c r="J249" s="276"/>
      <c r="M249" s="278"/>
      <c r="N249" s="157"/>
      <c r="O249" s="304"/>
      <c r="P249" s="304"/>
    </row>
    <row r="250" spans="3:16" s="159" customFormat="1" x14ac:dyDescent="0.2">
      <c r="C250" s="657"/>
      <c r="D250" s="657"/>
      <c r="J250" s="276"/>
      <c r="M250" s="278"/>
      <c r="N250" s="157"/>
      <c r="O250" s="304"/>
      <c r="P250" s="304"/>
    </row>
    <row r="251" spans="3:16" s="159" customFormat="1" x14ac:dyDescent="0.2">
      <c r="C251" s="657"/>
      <c r="D251" s="657"/>
      <c r="J251" s="276"/>
      <c r="M251" s="278"/>
      <c r="N251" s="157"/>
      <c r="O251" s="304"/>
      <c r="P251" s="304"/>
    </row>
    <row r="252" spans="3:16" s="159" customFormat="1" x14ac:dyDescent="0.2">
      <c r="C252" s="657"/>
      <c r="D252" s="657"/>
      <c r="J252" s="276"/>
      <c r="M252" s="278"/>
      <c r="N252" s="157"/>
      <c r="O252" s="304"/>
      <c r="P252" s="304"/>
    </row>
    <row r="253" spans="3:16" s="159" customFormat="1" x14ac:dyDescent="0.2">
      <c r="C253" s="657"/>
      <c r="D253" s="657"/>
      <c r="J253" s="276"/>
      <c r="M253" s="278"/>
      <c r="N253" s="157"/>
      <c r="O253" s="304"/>
      <c r="P253" s="304"/>
    </row>
    <row r="254" spans="3:16" s="159" customFormat="1" x14ac:dyDescent="0.2">
      <c r="C254" s="657"/>
      <c r="D254" s="657"/>
      <c r="J254" s="276"/>
      <c r="M254" s="278"/>
      <c r="N254" s="157"/>
      <c r="O254" s="304"/>
      <c r="P254" s="304"/>
    </row>
    <row r="255" spans="3:16" s="159" customFormat="1" x14ac:dyDescent="0.2">
      <c r="C255" s="657"/>
      <c r="D255" s="657"/>
      <c r="J255" s="276"/>
      <c r="M255" s="278"/>
      <c r="N255" s="157"/>
      <c r="O255" s="304"/>
      <c r="P255" s="304"/>
    </row>
    <row r="256" spans="3:16" s="159" customFormat="1" x14ac:dyDescent="0.2">
      <c r="C256" s="657"/>
      <c r="D256" s="657"/>
      <c r="J256" s="276"/>
      <c r="M256" s="278"/>
      <c r="N256" s="157"/>
      <c r="O256" s="304"/>
      <c r="P256" s="304"/>
    </row>
    <row r="257" spans="3:16" s="159" customFormat="1" x14ac:dyDescent="0.2">
      <c r="C257" s="657"/>
      <c r="D257" s="657"/>
      <c r="J257" s="276"/>
      <c r="M257" s="278"/>
      <c r="N257" s="157"/>
      <c r="O257" s="304"/>
      <c r="P257" s="304"/>
    </row>
    <row r="258" spans="3:16" s="159" customFormat="1" x14ac:dyDescent="0.2">
      <c r="C258" s="657"/>
      <c r="D258" s="657"/>
      <c r="J258" s="276"/>
      <c r="M258" s="278"/>
      <c r="N258" s="157"/>
      <c r="O258" s="304"/>
      <c r="P258" s="304"/>
    </row>
    <row r="259" spans="3:16" s="159" customFormat="1" x14ac:dyDescent="0.2">
      <c r="C259" s="657"/>
      <c r="D259" s="657"/>
      <c r="J259" s="276"/>
      <c r="M259" s="278"/>
      <c r="N259" s="157"/>
      <c r="O259" s="304"/>
      <c r="P259" s="304"/>
    </row>
    <row r="260" spans="3:16" s="159" customFormat="1" x14ac:dyDescent="0.2">
      <c r="C260" s="657"/>
      <c r="D260" s="657"/>
      <c r="J260" s="276"/>
      <c r="M260" s="278"/>
      <c r="N260" s="157"/>
      <c r="O260" s="304"/>
      <c r="P260" s="304"/>
    </row>
    <row r="261" spans="3:16" s="159" customFormat="1" x14ac:dyDescent="0.2">
      <c r="C261" s="657"/>
      <c r="D261" s="657"/>
      <c r="J261" s="276"/>
      <c r="M261" s="278"/>
      <c r="N261" s="157"/>
      <c r="O261" s="304"/>
      <c r="P261" s="304"/>
    </row>
    <row r="262" spans="3:16" s="159" customFormat="1" x14ac:dyDescent="0.2">
      <c r="C262" s="657"/>
      <c r="D262" s="657"/>
      <c r="J262" s="276"/>
      <c r="M262" s="278"/>
      <c r="N262" s="157"/>
      <c r="O262" s="304"/>
      <c r="P262" s="304"/>
    </row>
    <row r="263" spans="3:16" s="159" customFormat="1" x14ac:dyDescent="0.2">
      <c r="C263" s="657"/>
      <c r="D263" s="657"/>
      <c r="J263" s="276"/>
      <c r="M263" s="278"/>
      <c r="N263" s="157"/>
      <c r="O263" s="304"/>
      <c r="P263" s="304"/>
    </row>
    <row r="264" spans="3:16" s="159" customFormat="1" x14ac:dyDescent="0.2">
      <c r="C264" s="657"/>
      <c r="D264" s="657"/>
      <c r="J264" s="276"/>
      <c r="M264" s="278"/>
      <c r="N264" s="157"/>
      <c r="O264" s="304"/>
      <c r="P264" s="304"/>
    </row>
    <row r="265" spans="3:16" s="159" customFormat="1" x14ac:dyDescent="0.2">
      <c r="C265" s="657"/>
      <c r="D265" s="657"/>
      <c r="J265" s="276"/>
      <c r="M265" s="278"/>
      <c r="N265" s="157"/>
      <c r="O265" s="304"/>
      <c r="P265" s="304"/>
    </row>
    <row r="266" spans="3:16" s="159" customFormat="1" x14ac:dyDescent="0.2">
      <c r="C266" s="657"/>
      <c r="D266" s="657"/>
      <c r="J266" s="276"/>
      <c r="M266" s="278"/>
      <c r="N266" s="157"/>
      <c r="O266" s="304"/>
      <c r="P266" s="304"/>
    </row>
    <row r="267" spans="3:16" s="159" customFormat="1" x14ac:dyDescent="0.2">
      <c r="C267" s="657"/>
      <c r="D267" s="657"/>
      <c r="J267" s="276"/>
      <c r="M267" s="278"/>
      <c r="N267" s="157"/>
      <c r="O267" s="304"/>
      <c r="P267" s="304"/>
    </row>
    <row r="268" spans="3:16" s="159" customFormat="1" x14ac:dyDescent="0.2">
      <c r="C268" s="657"/>
      <c r="D268" s="657"/>
      <c r="J268" s="276"/>
      <c r="M268" s="278"/>
      <c r="N268" s="157"/>
      <c r="O268" s="304"/>
      <c r="P268" s="304"/>
    </row>
    <row r="269" spans="3:16" s="159" customFormat="1" x14ac:dyDescent="0.2">
      <c r="C269" s="657"/>
      <c r="D269" s="657"/>
      <c r="J269" s="276"/>
      <c r="M269" s="278"/>
      <c r="N269" s="157"/>
      <c r="O269" s="304"/>
      <c r="P269" s="304"/>
    </row>
    <row r="270" spans="3:16" s="159" customFormat="1" x14ac:dyDescent="0.2">
      <c r="C270" s="657"/>
      <c r="D270" s="657"/>
      <c r="J270" s="276"/>
      <c r="M270" s="278"/>
      <c r="N270" s="157"/>
      <c r="O270" s="304"/>
      <c r="P270" s="304"/>
    </row>
    <row r="271" spans="3:16" s="159" customFormat="1" x14ac:dyDescent="0.2">
      <c r="C271" s="657"/>
      <c r="D271" s="657"/>
      <c r="J271" s="276"/>
      <c r="M271" s="278"/>
      <c r="N271" s="157"/>
      <c r="O271" s="304"/>
      <c r="P271" s="304"/>
    </row>
    <row r="272" spans="3:16" s="159" customFormat="1" x14ac:dyDescent="0.2">
      <c r="C272" s="657"/>
      <c r="D272" s="657"/>
      <c r="J272" s="276"/>
      <c r="M272" s="278"/>
      <c r="N272" s="157"/>
      <c r="O272" s="304"/>
      <c r="P272" s="304"/>
    </row>
    <row r="273" spans="3:16" s="159" customFormat="1" x14ac:dyDescent="0.2">
      <c r="C273" s="657"/>
      <c r="D273" s="657"/>
      <c r="J273" s="276"/>
      <c r="M273" s="278"/>
      <c r="N273" s="157"/>
      <c r="O273" s="304"/>
      <c r="P273" s="304"/>
    </row>
    <row r="274" spans="3:16" s="159" customFormat="1" x14ac:dyDescent="0.2">
      <c r="C274" s="657"/>
      <c r="D274" s="657"/>
      <c r="J274" s="276"/>
      <c r="M274" s="278"/>
      <c r="N274" s="157"/>
      <c r="O274" s="304"/>
      <c r="P274" s="304"/>
    </row>
    <row r="275" spans="3:16" s="159" customFormat="1" x14ac:dyDescent="0.2">
      <c r="C275" s="657"/>
      <c r="D275" s="657"/>
      <c r="J275" s="276"/>
      <c r="M275" s="278"/>
      <c r="N275" s="157"/>
      <c r="O275" s="304"/>
      <c r="P275" s="304"/>
    </row>
    <row r="276" spans="3:16" s="159" customFormat="1" x14ac:dyDescent="0.2">
      <c r="C276" s="657"/>
      <c r="D276" s="657"/>
      <c r="J276" s="276"/>
      <c r="M276" s="278"/>
      <c r="N276" s="157"/>
      <c r="O276" s="304"/>
      <c r="P276" s="304"/>
    </row>
    <row r="277" spans="3:16" s="159" customFormat="1" x14ac:dyDescent="0.2">
      <c r="C277" s="657"/>
      <c r="D277" s="657"/>
      <c r="J277" s="276"/>
      <c r="M277" s="278"/>
      <c r="N277" s="157"/>
      <c r="O277" s="304"/>
      <c r="P277" s="304"/>
    </row>
    <row r="278" spans="3:16" s="159" customFormat="1" x14ac:dyDescent="0.2">
      <c r="C278" s="657"/>
      <c r="D278" s="657"/>
      <c r="J278" s="276"/>
      <c r="M278" s="278"/>
      <c r="N278" s="157"/>
      <c r="O278" s="304"/>
      <c r="P278" s="304"/>
    </row>
    <row r="279" spans="3:16" s="159" customFormat="1" x14ac:dyDescent="0.2">
      <c r="C279" s="657"/>
      <c r="D279" s="657"/>
      <c r="J279" s="276"/>
      <c r="M279" s="278"/>
      <c r="N279" s="157"/>
      <c r="O279" s="304"/>
      <c r="P279" s="304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topLeftCell="A28" zoomScale="90" zoomScaleNormal="75" zoomScaleSheetLayoutView="90" zoomScalePageLayoutView="75" workbookViewId="0">
      <selection activeCell="A55" sqref="A55"/>
    </sheetView>
  </sheetViews>
  <sheetFormatPr defaultColWidth="9.140625" defaultRowHeight="12.75" x14ac:dyDescent="0.2"/>
  <cols>
    <col min="1" max="1" width="12.140625" style="157" bestFit="1" customWidth="1"/>
    <col min="2" max="2" width="42.85546875" style="157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73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504</v>
      </c>
      <c r="B10" s="527" t="s">
        <v>505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ht="15" x14ac:dyDescent="0.2">
      <c r="A11" s="196" t="s">
        <v>506</v>
      </c>
      <c r="B11" s="196" t="s">
        <v>507</v>
      </c>
      <c r="C11" s="373"/>
      <c r="D11" s="374" t="s">
        <v>21</v>
      </c>
      <c r="E11" s="255">
        <v>0</v>
      </c>
      <c r="F11" s="375">
        <f t="shared" ref="F11:F22" si="0">C11*E11</f>
        <v>0</v>
      </c>
      <c r="G11" s="531"/>
      <c r="H11" s="377">
        <v>0</v>
      </c>
      <c r="I11" s="375">
        <f t="shared" ref="I11:I22" si="1">G11*H11</f>
        <v>0</v>
      </c>
      <c r="J11" s="378"/>
      <c r="K11" s="532">
        <f t="shared" ref="K11:K22" si="2">F11+I11+J11</f>
        <v>0</v>
      </c>
      <c r="L11" s="380"/>
      <c r="M11" s="381"/>
      <c r="N11" s="382"/>
      <c r="O11" s="383"/>
      <c r="P11" s="384"/>
      <c r="Q11" s="385"/>
    </row>
    <row r="12" spans="1:17" x14ac:dyDescent="0.2">
      <c r="A12" s="372"/>
      <c r="B12" s="5"/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x14ac:dyDescent="0.2">
      <c r="A13" s="372"/>
      <c r="B13" s="5"/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A14" s="372"/>
      <c r="B14" s="5"/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6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86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86"/>
      <c r="B17" s="5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157"/>
      <c r="M17" s="471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157"/>
      <c r="M18" s="471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538"/>
      <c r="M19" s="576"/>
      <c r="N19" s="539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540"/>
      <c r="M20" s="466"/>
      <c r="N20" s="54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157"/>
      <c r="M21" s="471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157"/>
      <c r="M22" s="471"/>
      <c r="O22" s="383"/>
      <c r="P22" s="384"/>
      <c r="Q22" s="385"/>
    </row>
    <row r="23" spans="1:17" ht="13.5" thickBot="1" x14ac:dyDescent="0.25">
      <c r="A23" s="389"/>
      <c r="B23" s="7"/>
      <c r="C23" s="390"/>
      <c r="D23" s="374"/>
      <c r="E23" s="255"/>
      <c r="F23" s="375"/>
      <c r="G23" s="531"/>
      <c r="H23" s="377"/>
      <c r="I23" s="375"/>
      <c r="J23" s="378"/>
      <c r="K23" s="532"/>
      <c r="L23" s="157"/>
      <c r="M23" s="471"/>
      <c r="O23" s="383"/>
      <c r="P23" s="384"/>
      <c r="Q23" s="385"/>
    </row>
    <row r="24" spans="1:17" ht="13.5" thickTop="1" x14ac:dyDescent="0.2">
      <c r="A24" s="389"/>
      <c r="B24" s="7"/>
      <c r="C24" s="390"/>
      <c r="D24" s="374"/>
      <c r="E24" s="255"/>
      <c r="F24" s="375"/>
      <c r="G24" s="531"/>
      <c r="H24" s="377"/>
      <c r="I24" s="375"/>
      <c r="J24" s="391" t="s">
        <v>30</v>
      </c>
      <c r="K24" s="534">
        <f>SUM(K11:K23)</f>
        <v>0</v>
      </c>
      <c r="L24" s="157"/>
      <c r="M24" s="471"/>
      <c r="O24" s="383"/>
      <c r="P24" s="384"/>
      <c r="Q24" s="385"/>
    </row>
    <row r="25" spans="1:17" ht="13.5" thickBot="1" x14ac:dyDescent="0.25">
      <c r="A25" s="355" t="s">
        <v>0</v>
      </c>
      <c r="B25" s="356" t="s">
        <v>1</v>
      </c>
      <c r="C25" s="948" t="s">
        <v>656</v>
      </c>
      <c r="D25" s="948"/>
      <c r="E25" s="948"/>
      <c r="F25" s="948"/>
      <c r="G25" s="948" t="s">
        <v>34</v>
      </c>
      <c r="H25" s="948"/>
      <c r="I25" s="948"/>
      <c r="J25" s="357"/>
      <c r="K25" s="525"/>
      <c r="L25" s="393"/>
      <c r="M25" s="394"/>
      <c r="N25" s="395"/>
      <c r="O25" s="383"/>
      <c r="P25" s="384"/>
      <c r="Q25" s="385"/>
    </row>
    <row r="26" spans="1:17" ht="16.5" thickBot="1" x14ac:dyDescent="0.3">
      <c r="A26" s="527" t="s">
        <v>508</v>
      </c>
      <c r="B26" s="527" t="s">
        <v>509</v>
      </c>
      <c r="C26" s="398" t="s">
        <v>19</v>
      </c>
      <c r="D26" s="399" t="s">
        <v>33</v>
      </c>
      <c r="E26" s="400" t="s">
        <v>35</v>
      </c>
      <c r="F26" s="401" t="s">
        <v>30</v>
      </c>
      <c r="G26" s="535" t="s">
        <v>14</v>
      </c>
      <c r="H26" s="400" t="s">
        <v>35</v>
      </c>
      <c r="I26" s="401" t="s">
        <v>30</v>
      </c>
      <c r="J26" s="366" t="s">
        <v>659</v>
      </c>
      <c r="K26" s="536" t="s">
        <v>38</v>
      </c>
      <c r="L26" s="404"/>
      <c r="M26" s="405"/>
      <c r="N26" s="406"/>
      <c r="O26" s="383"/>
      <c r="P26" s="384"/>
      <c r="Q26" s="385"/>
    </row>
    <row r="27" spans="1:17" s="159" customFormat="1" x14ac:dyDescent="0.2">
      <c r="A27" s="407"/>
      <c r="B27" s="408"/>
      <c r="C27" s="373"/>
      <c r="D27" s="374" t="s">
        <v>21</v>
      </c>
      <c r="E27" s="255">
        <v>0</v>
      </c>
      <c r="F27" s="375">
        <f t="shared" ref="F27:F33" si="3">C27*E27</f>
        <v>0</v>
      </c>
      <c r="G27" s="531"/>
      <c r="H27" s="377">
        <v>0</v>
      </c>
      <c r="I27" s="375">
        <f t="shared" ref="I27:I33" si="4">G27*H27</f>
        <v>0</v>
      </c>
      <c r="J27" s="378"/>
      <c r="K27" s="532">
        <f t="shared" ref="K27:K33" si="5">F27+I27+J27</f>
        <v>0</v>
      </c>
      <c r="M27" s="276"/>
      <c r="O27" s="383"/>
      <c r="P27" s="384"/>
      <c r="Q27" s="385"/>
    </row>
    <row r="28" spans="1:17" s="159" customFormat="1" x14ac:dyDescent="0.2">
      <c r="A28" s="372"/>
      <c r="B28" s="5"/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372"/>
      <c r="B29" s="5"/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372"/>
      <c r="B30" s="5"/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L31" s="538"/>
      <c r="M31" s="576"/>
      <c r="N31" s="539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M32" s="276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M33" s="276"/>
      <c r="O33" s="383"/>
      <c r="P33" s="384"/>
      <c r="Q33" s="385"/>
    </row>
    <row r="34" spans="1:17" s="159" customFormat="1" ht="13.5" thickBot="1" x14ac:dyDescent="0.25">
      <c r="A34" s="372"/>
      <c r="B34" s="5"/>
      <c r="C34" s="390"/>
      <c r="D34" s="374"/>
      <c r="E34" s="255"/>
      <c r="F34" s="375"/>
      <c r="G34" s="531"/>
      <c r="H34" s="377"/>
      <c r="I34" s="375"/>
      <c r="J34" s="378"/>
      <c r="K34" s="537"/>
      <c r="L34" s="157"/>
      <c r="M34" s="471"/>
      <c r="N34" s="157"/>
      <c r="O34" s="383"/>
      <c r="P34" s="384"/>
      <c r="Q34" s="385"/>
    </row>
    <row r="35" spans="1:17" s="159" customFormat="1" ht="13.5" thickTop="1" x14ac:dyDescent="0.2">
      <c r="A35" s="389"/>
      <c r="B35" s="5"/>
      <c r="C35" s="390"/>
      <c r="D35" s="374"/>
      <c r="E35" s="255"/>
      <c r="F35" s="375"/>
      <c r="G35" s="531"/>
      <c r="H35" s="377"/>
      <c r="I35" s="375"/>
      <c r="J35" s="391" t="s">
        <v>30</v>
      </c>
      <c r="K35" s="534">
        <f>SUM(K27:K34)</f>
        <v>0</v>
      </c>
      <c r="L35" s="380"/>
      <c r="M35" s="381"/>
      <c r="N35" s="382"/>
      <c r="O35" s="383"/>
      <c r="P35" s="384"/>
      <c r="Q35" s="385"/>
    </row>
    <row r="36" spans="1:17" s="159" customFormat="1" ht="13.5" thickBot="1" x14ac:dyDescent="0.25">
      <c r="A36" s="355" t="s">
        <v>0</v>
      </c>
      <c r="B36" s="356" t="s">
        <v>1</v>
      </c>
      <c r="C36" s="948" t="s">
        <v>656</v>
      </c>
      <c r="D36" s="948"/>
      <c r="E36" s="948"/>
      <c r="F36" s="948"/>
      <c r="G36" s="948" t="s">
        <v>34</v>
      </c>
      <c r="H36" s="948"/>
      <c r="I36" s="948"/>
      <c r="J36" s="357"/>
      <c r="K36" s="525"/>
      <c r="L36" s="393"/>
      <c r="M36" s="394"/>
      <c r="N36" s="395"/>
      <c r="O36" s="383"/>
      <c r="P36" s="384"/>
      <c r="Q36" s="385"/>
    </row>
    <row r="37" spans="1:17" s="159" customFormat="1" ht="16.5" thickBot="1" x14ac:dyDescent="0.3">
      <c r="A37" s="527" t="s">
        <v>510</v>
      </c>
      <c r="B37" s="527" t="s">
        <v>511</v>
      </c>
      <c r="C37" s="398" t="s">
        <v>19</v>
      </c>
      <c r="D37" s="399" t="s">
        <v>33</v>
      </c>
      <c r="E37" s="400" t="s">
        <v>35</v>
      </c>
      <c r="F37" s="401" t="s">
        <v>30</v>
      </c>
      <c r="G37" s="535" t="s">
        <v>14</v>
      </c>
      <c r="H37" s="400" t="s">
        <v>35</v>
      </c>
      <c r="I37" s="401" t="s">
        <v>30</v>
      </c>
      <c r="J37" s="366" t="s">
        <v>659</v>
      </c>
      <c r="K37" s="536" t="s">
        <v>38</v>
      </c>
      <c r="L37" s="404"/>
      <c r="M37" s="410"/>
      <c r="N37" s="411"/>
      <c r="O37" s="412"/>
      <c r="P37" s="413"/>
      <c r="Q37" s="385"/>
    </row>
    <row r="38" spans="1:17" s="159" customFormat="1" x14ac:dyDescent="0.2">
      <c r="A38" s="407"/>
      <c r="B38" s="408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17" s="159" customFormat="1" x14ac:dyDescent="0.2">
      <c r="A39" s="372"/>
      <c r="B39" s="5"/>
      <c r="C39" s="373"/>
      <c r="D39" s="374" t="s">
        <v>21</v>
      </c>
      <c r="E39" s="255">
        <v>0</v>
      </c>
      <c r="F39" s="375">
        <f>C39*E39</f>
        <v>0</v>
      </c>
      <c r="G39" s="531"/>
      <c r="H39" s="377">
        <v>0</v>
      </c>
      <c r="I39" s="375">
        <f>G39*H39</f>
        <v>0</v>
      </c>
      <c r="J39" s="378"/>
      <c r="K39" s="532">
        <f>F39+I39+J39</f>
        <v>0</v>
      </c>
      <c r="M39" s="276"/>
      <c r="O39" s="412"/>
      <c r="P39" s="413"/>
      <c r="Q39" s="385"/>
    </row>
    <row r="40" spans="1:17" s="159" customFormat="1" x14ac:dyDescent="0.2">
      <c r="A40" s="372"/>
      <c r="B40" s="5"/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M40" s="276"/>
      <c r="O40" s="412"/>
      <c r="P40" s="413"/>
      <c r="Q40" s="385"/>
    </row>
    <row r="41" spans="1:17" s="159" customFormat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78"/>
      <c r="K41" s="537"/>
      <c r="L41" s="380"/>
      <c r="M41" s="381"/>
      <c r="N41" s="382"/>
      <c r="O41" s="412"/>
      <c r="P41" s="413"/>
      <c r="Q41" s="385"/>
    </row>
    <row r="42" spans="1:17" s="159" customFormat="1" ht="13.5" thickBot="1" x14ac:dyDescent="0.25">
      <c r="A42" s="389"/>
      <c r="B42" s="414"/>
      <c r="C42" s="390"/>
      <c r="D42" s="374"/>
      <c r="E42" s="255"/>
      <c r="F42" s="375"/>
      <c r="G42" s="531"/>
      <c r="H42" s="377"/>
      <c r="I42" s="375"/>
      <c r="J42" s="378"/>
      <c r="K42" s="537"/>
      <c r="M42" s="278"/>
      <c r="N42" s="157"/>
      <c r="O42" s="412"/>
      <c r="P42" s="413"/>
      <c r="Q42" s="385"/>
    </row>
    <row r="43" spans="1:17" s="159" customFormat="1" ht="13.5" thickTop="1" x14ac:dyDescent="0.2">
      <c r="A43" s="389"/>
      <c r="B43" s="414"/>
      <c r="C43" s="390"/>
      <c r="D43" s="374"/>
      <c r="E43" s="255"/>
      <c r="F43" s="375"/>
      <c r="G43" s="531"/>
      <c r="H43" s="377"/>
      <c r="I43" s="375"/>
      <c r="J43" s="391" t="s">
        <v>30</v>
      </c>
      <c r="K43" s="534">
        <f>SUM(K38:K42)</f>
        <v>0</v>
      </c>
      <c r="M43" s="278"/>
      <c r="N43" s="157"/>
      <c r="O43" s="383"/>
      <c r="P43" s="384"/>
      <c r="Q43" s="385"/>
    </row>
    <row r="44" spans="1:17" s="159" customFormat="1" ht="13.5" thickBot="1" x14ac:dyDescent="0.25">
      <c r="A44" s="355" t="s">
        <v>0</v>
      </c>
      <c r="B44" s="356" t="s">
        <v>1</v>
      </c>
      <c r="C44" s="948" t="s">
        <v>656</v>
      </c>
      <c r="D44" s="948"/>
      <c r="E44" s="948"/>
      <c r="F44" s="948"/>
      <c r="G44" s="948" t="s">
        <v>34</v>
      </c>
      <c r="H44" s="948"/>
      <c r="I44" s="948"/>
      <c r="J44" s="357"/>
      <c r="K44" s="525"/>
      <c r="L44" s="393"/>
      <c r="M44" s="394"/>
      <c r="N44" s="395"/>
      <c r="O44" s="383"/>
      <c r="P44" s="384"/>
      <c r="Q44" s="385"/>
    </row>
    <row r="45" spans="1:17" s="159" customFormat="1" ht="15.75" x14ac:dyDescent="0.25">
      <c r="A45" s="527" t="s">
        <v>512</v>
      </c>
      <c r="B45" s="527" t="s">
        <v>514</v>
      </c>
      <c r="C45" s="398" t="s">
        <v>19</v>
      </c>
      <c r="D45" s="399" t="s">
        <v>33</v>
      </c>
      <c r="E45" s="400" t="s">
        <v>35</v>
      </c>
      <c r="F45" s="401" t="s">
        <v>30</v>
      </c>
      <c r="G45" s="535" t="s">
        <v>14</v>
      </c>
      <c r="H45" s="400" t="s">
        <v>35</v>
      </c>
      <c r="I45" s="401" t="s">
        <v>30</v>
      </c>
      <c r="J45" s="366" t="s">
        <v>659</v>
      </c>
      <c r="K45" s="536" t="s">
        <v>38</v>
      </c>
      <c r="L45" s="404"/>
      <c r="M45" s="410"/>
      <c r="N45" s="411"/>
      <c r="O45" s="383"/>
      <c r="P45" s="413"/>
      <c r="Q45" s="385"/>
    </row>
    <row r="46" spans="1:17" s="159" customFormat="1" ht="15" x14ac:dyDescent="0.2">
      <c r="A46" s="806" t="s">
        <v>513</v>
      </c>
      <c r="B46" s="806" t="s">
        <v>515</v>
      </c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17" s="159" customFormat="1" x14ac:dyDescent="0.2">
      <c r="A47" s="372"/>
      <c r="B47" s="5"/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538"/>
      <c r="M47" s="576"/>
      <c r="N47" s="539"/>
      <c r="O47" s="383"/>
      <c r="P47" s="384"/>
      <c r="Q47" s="385"/>
    </row>
    <row r="48" spans="1:17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540"/>
      <c r="M48" s="257"/>
      <c r="N48" s="423"/>
      <c r="O48" s="383"/>
      <c r="P48" s="384"/>
      <c r="Q48" s="385"/>
    </row>
    <row r="49" spans="1:17" s="159" customFormat="1" x14ac:dyDescent="0.2">
      <c r="A49" s="372"/>
      <c r="B49" s="5"/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666"/>
      <c r="M49" s="257"/>
      <c r="N49" s="423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L50" s="380"/>
      <c r="M50" s="257"/>
      <c r="N50" s="423"/>
      <c r="O50" s="383"/>
      <c r="P50" s="384"/>
      <c r="Q50" s="385"/>
    </row>
    <row r="51" spans="1:17" s="159" customFormat="1" ht="13.5" thickBot="1" x14ac:dyDescent="0.25">
      <c r="A51" s="389"/>
      <c r="B51" s="414"/>
      <c r="C51" s="390"/>
      <c r="D51" s="374"/>
      <c r="E51" s="255"/>
      <c r="F51" s="375"/>
      <c r="G51" s="531"/>
      <c r="H51" s="377"/>
      <c r="I51" s="375"/>
      <c r="J51" s="378"/>
      <c r="K51" s="537"/>
      <c r="L51" s="380"/>
      <c r="M51" s="257"/>
      <c r="N51" s="382"/>
      <c r="O51" s="383"/>
      <c r="P51" s="384"/>
      <c r="Q51" s="385"/>
    </row>
    <row r="52" spans="1:17" s="159" customFormat="1" ht="14.25" thickTop="1" thickBot="1" x14ac:dyDescent="0.25">
      <c r="A52" s="389"/>
      <c r="B52" s="414"/>
      <c r="C52" s="390"/>
      <c r="D52" s="374"/>
      <c r="E52" s="255"/>
      <c r="F52" s="375"/>
      <c r="G52" s="531"/>
      <c r="H52" s="377"/>
      <c r="I52" s="375"/>
      <c r="J52" s="391" t="s">
        <v>30</v>
      </c>
      <c r="K52" s="534">
        <f>SUM(K46:K51)</f>
        <v>0</v>
      </c>
      <c r="L52" s="681"/>
      <c r="M52" s="682"/>
      <c r="N52" s="587"/>
      <c r="O52" s="683"/>
      <c r="P52" s="684"/>
      <c r="Q52" s="464"/>
    </row>
    <row r="53" spans="1:17" s="159" customFormat="1" ht="14.1" customHeight="1" thickTop="1" x14ac:dyDescent="0.25">
      <c r="A53" s="480"/>
      <c r="B53" s="481"/>
      <c r="C53" s="482"/>
      <c r="D53" s="482"/>
      <c r="E53" s="483"/>
      <c r="F53" s="978" t="s">
        <v>658</v>
      </c>
      <c r="G53" s="1001" t="s">
        <v>682</v>
      </c>
      <c r="H53" s="483"/>
      <c r="I53" s="971" t="s">
        <v>657</v>
      </c>
      <c r="J53" s="967" t="s">
        <v>683</v>
      </c>
      <c r="K53" s="965" t="s">
        <v>31</v>
      </c>
      <c r="M53" s="278"/>
      <c r="N53" s="157"/>
      <c r="O53" s="304"/>
      <c r="P53" s="304"/>
    </row>
    <row r="54" spans="1:17" s="159" customFormat="1" ht="14.1" customHeight="1" x14ac:dyDescent="0.2">
      <c r="A54" s="484" t="s">
        <v>32</v>
      </c>
      <c r="B54" s="973" t="s">
        <v>672</v>
      </c>
      <c r="C54" s="485"/>
      <c r="D54" s="486"/>
      <c r="E54" s="486"/>
      <c r="F54" s="979"/>
      <c r="G54" s="1002"/>
      <c r="H54" s="487"/>
      <c r="I54" s="972"/>
      <c r="J54" s="968"/>
      <c r="K54" s="966"/>
      <c r="M54" s="278"/>
      <c r="N54" s="157"/>
      <c r="O54" s="304"/>
      <c r="P54" s="304"/>
    </row>
    <row r="55" spans="1:17" s="159" customFormat="1" ht="15" x14ac:dyDescent="0.25">
      <c r="A55" s="488">
        <f>K55/E6</f>
        <v>0</v>
      </c>
      <c r="B55" s="973"/>
      <c r="C55" s="486"/>
      <c r="D55" s="486"/>
      <c r="E55" s="486"/>
      <c r="F55" s="961">
        <f>SUM(F46:F51,F38:F42,F27:F34,F11:F23)</f>
        <v>0</v>
      </c>
      <c r="G55" s="1142">
        <f>SUM(G46:G51,G38:G42,G27:G34,G11:G23)</f>
        <v>0</v>
      </c>
      <c r="H55" s="487"/>
      <c r="I55" s="961">
        <f>SUM(I46:I51,I38:I42,I27:I34,I11:I23)</f>
        <v>0</v>
      </c>
      <c r="J55" s="961">
        <f>SUM(J46:J51,J38:J42,J27:J34,J11:J23)</f>
        <v>0</v>
      </c>
      <c r="K55" s="963">
        <f>K52+K43+K35+K24</f>
        <v>0</v>
      </c>
      <c r="M55" s="278"/>
      <c r="N55" s="157"/>
      <c r="O55" s="304"/>
      <c r="P55" s="304"/>
    </row>
    <row r="56" spans="1:17" s="159" customFormat="1" ht="14.25" x14ac:dyDescent="0.2">
      <c r="A56" s="484"/>
      <c r="B56" s="552"/>
      <c r="C56" s="552"/>
      <c r="D56" s="552"/>
      <c r="E56" s="552"/>
      <c r="F56" s="961"/>
      <c r="G56" s="1006"/>
      <c r="H56" s="552"/>
      <c r="I56" s="961"/>
      <c r="J56" s="961"/>
      <c r="K56" s="963"/>
      <c r="M56" s="278"/>
      <c r="N56" s="157"/>
      <c r="O56" s="304"/>
      <c r="P56" s="304"/>
    </row>
    <row r="57" spans="1:17" s="159" customFormat="1" ht="13.5" thickBot="1" x14ac:dyDescent="0.25">
      <c r="A57" s="491"/>
      <c r="B57" s="492"/>
      <c r="C57" s="492"/>
      <c r="D57" s="492"/>
      <c r="E57" s="492"/>
      <c r="F57" s="492"/>
      <c r="G57" s="492"/>
      <c r="H57" s="492"/>
      <c r="I57" s="492"/>
      <c r="J57" s="492"/>
      <c r="K57" s="493"/>
      <c r="M57" s="278"/>
      <c r="N57" s="157"/>
      <c r="O57" s="304"/>
      <c r="P57" s="304"/>
    </row>
    <row r="58" spans="1:17" s="159" customFormat="1" x14ac:dyDescent="0.2">
      <c r="C58" s="657"/>
      <c r="D58" s="657"/>
      <c r="J58" s="276"/>
      <c r="M58" s="278"/>
      <c r="N58" s="157"/>
      <c r="O58" s="304"/>
      <c r="P58" s="304"/>
    </row>
    <row r="59" spans="1:17" s="159" customFormat="1" x14ac:dyDescent="0.2">
      <c r="C59" s="657"/>
      <c r="D59" s="657"/>
      <c r="J59" s="276"/>
      <c r="M59" s="278"/>
      <c r="N59" s="157"/>
      <c r="O59" s="304"/>
      <c r="P59" s="304"/>
    </row>
    <row r="60" spans="1:17" s="159" customFormat="1" x14ac:dyDescent="0.2">
      <c r="C60" s="657"/>
      <c r="D60" s="657"/>
      <c r="J60" s="276"/>
      <c r="M60" s="278"/>
      <c r="N60" s="157"/>
      <c r="O60" s="304"/>
      <c r="P60" s="304"/>
    </row>
    <row r="61" spans="1:17" s="159" customFormat="1" x14ac:dyDescent="0.2">
      <c r="C61" s="657"/>
      <c r="D61" s="657"/>
      <c r="J61" s="276"/>
      <c r="M61" s="278"/>
      <c r="N61" s="157"/>
      <c r="O61" s="304"/>
      <c r="P61" s="304"/>
    </row>
    <row r="62" spans="1:17" s="159" customFormat="1" x14ac:dyDescent="0.2">
      <c r="C62" s="657"/>
      <c r="D62" s="657"/>
      <c r="J62" s="276"/>
      <c r="M62" s="278"/>
      <c r="N62" s="157"/>
      <c r="O62" s="304"/>
      <c r="P62" s="304"/>
    </row>
    <row r="63" spans="1:17" s="159" customFormat="1" x14ac:dyDescent="0.2">
      <c r="C63" s="657"/>
      <c r="D63" s="657"/>
      <c r="J63" s="276"/>
      <c r="M63" s="278"/>
      <c r="N63" s="157"/>
      <c r="O63" s="304"/>
      <c r="P63" s="304"/>
    </row>
    <row r="64" spans="1:17" s="159" customFormat="1" x14ac:dyDescent="0.2">
      <c r="C64" s="657"/>
      <c r="D64" s="657"/>
      <c r="J64" s="276"/>
      <c r="M64" s="278"/>
      <c r="N64" s="157"/>
      <c r="O64" s="304"/>
      <c r="P64" s="304"/>
    </row>
    <row r="65" spans="3:16" s="159" customFormat="1" x14ac:dyDescent="0.2">
      <c r="C65" s="657"/>
      <c r="D65" s="657"/>
      <c r="J65" s="276"/>
      <c r="M65" s="278"/>
      <c r="N65" s="157"/>
      <c r="O65" s="304"/>
      <c r="P65" s="304"/>
    </row>
    <row r="66" spans="3:16" s="159" customFormat="1" x14ac:dyDescent="0.2">
      <c r="C66" s="657"/>
      <c r="D66" s="657"/>
      <c r="J66" s="276"/>
      <c r="M66" s="278"/>
      <c r="N66" s="157"/>
      <c r="O66" s="304"/>
      <c r="P66" s="304"/>
    </row>
    <row r="67" spans="3:16" s="159" customFormat="1" x14ac:dyDescent="0.2">
      <c r="C67" s="657"/>
      <c r="D67" s="657"/>
      <c r="J67" s="276"/>
      <c r="M67" s="278"/>
      <c r="N67" s="157"/>
      <c r="O67" s="304"/>
      <c r="P67" s="304"/>
    </row>
    <row r="68" spans="3:16" s="159" customFormat="1" x14ac:dyDescent="0.2">
      <c r="C68" s="657"/>
      <c r="D68" s="657"/>
      <c r="J68" s="276"/>
      <c r="M68" s="278"/>
      <c r="N68" s="157"/>
      <c r="O68" s="304"/>
      <c r="P68" s="304"/>
    </row>
    <row r="69" spans="3:16" s="159" customFormat="1" x14ac:dyDescent="0.2">
      <c r="C69" s="657"/>
      <c r="D69" s="657"/>
      <c r="J69" s="276"/>
      <c r="M69" s="278"/>
      <c r="N69" s="157"/>
      <c r="O69" s="304"/>
      <c r="P69" s="304"/>
    </row>
    <row r="70" spans="3:16" s="159" customFormat="1" x14ac:dyDescent="0.2">
      <c r="C70" s="657"/>
      <c r="D70" s="657"/>
      <c r="J70" s="276"/>
      <c r="M70" s="278"/>
      <c r="N70" s="157"/>
      <c r="O70" s="304"/>
      <c r="P70" s="304"/>
    </row>
    <row r="71" spans="3:16" s="159" customFormat="1" x14ac:dyDescent="0.2">
      <c r="C71" s="657"/>
      <c r="D71" s="657"/>
      <c r="J71" s="276"/>
      <c r="M71" s="278"/>
      <c r="N71" s="157"/>
      <c r="O71" s="304"/>
      <c r="P71" s="304"/>
    </row>
    <row r="72" spans="3:16" s="159" customFormat="1" x14ac:dyDescent="0.2">
      <c r="C72" s="657"/>
      <c r="D72" s="657"/>
      <c r="J72" s="276"/>
      <c r="M72" s="278"/>
      <c r="N72" s="157"/>
      <c r="O72" s="304"/>
      <c r="P72" s="304"/>
    </row>
    <row r="73" spans="3:16" s="159" customFormat="1" x14ac:dyDescent="0.2">
      <c r="C73" s="657"/>
      <c r="D73" s="657"/>
      <c r="J73" s="276"/>
      <c r="M73" s="278"/>
      <c r="N73" s="157"/>
      <c r="O73" s="304"/>
      <c r="P73" s="304"/>
    </row>
    <row r="74" spans="3:16" s="159" customFormat="1" x14ac:dyDescent="0.2">
      <c r="C74" s="657"/>
      <c r="D74" s="657"/>
      <c r="J74" s="276"/>
      <c r="M74" s="278"/>
      <c r="N74" s="157"/>
      <c r="O74" s="304"/>
      <c r="P74" s="304"/>
    </row>
    <row r="75" spans="3:16" s="159" customFormat="1" x14ac:dyDescent="0.2">
      <c r="C75" s="657"/>
      <c r="D75" s="657"/>
      <c r="J75" s="276"/>
      <c r="M75" s="278"/>
      <c r="N75" s="157"/>
      <c r="O75" s="304"/>
      <c r="P75" s="304"/>
    </row>
    <row r="76" spans="3:16" s="159" customFormat="1" x14ac:dyDescent="0.2">
      <c r="C76" s="657"/>
      <c r="D76" s="657"/>
      <c r="J76" s="276"/>
      <c r="M76" s="278"/>
      <c r="N76" s="157"/>
      <c r="O76" s="304"/>
      <c r="P76" s="304"/>
    </row>
    <row r="77" spans="3:16" s="159" customFormat="1" x14ac:dyDescent="0.2">
      <c r="C77" s="657"/>
      <c r="D77" s="657"/>
      <c r="J77" s="276"/>
      <c r="M77" s="278"/>
      <c r="N77" s="157"/>
      <c r="O77" s="304"/>
      <c r="P77" s="304"/>
    </row>
    <row r="78" spans="3:16" s="159" customFormat="1" x14ac:dyDescent="0.2">
      <c r="C78" s="657"/>
      <c r="D78" s="657"/>
      <c r="J78" s="276"/>
      <c r="M78" s="278"/>
      <c r="N78" s="157"/>
      <c r="O78" s="304"/>
      <c r="P78" s="304"/>
    </row>
    <row r="79" spans="3:16" s="159" customFormat="1" x14ac:dyDescent="0.2">
      <c r="C79" s="657"/>
      <c r="D79" s="657"/>
      <c r="J79" s="276"/>
      <c r="M79" s="278"/>
      <c r="N79" s="157"/>
      <c r="O79" s="304"/>
      <c r="P79" s="304"/>
    </row>
    <row r="80" spans="3:16" s="159" customFormat="1" x14ac:dyDescent="0.2">
      <c r="C80" s="657"/>
      <c r="D80" s="657"/>
      <c r="J80" s="276"/>
      <c r="M80" s="278"/>
      <c r="N80" s="157"/>
      <c r="O80" s="304"/>
      <c r="P80" s="304"/>
    </row>
    <row r="81" spans="3:16" s="159" customFormat="1" x14ac:dyDescent="0.2">
      <c r="C81" s="657"/>
      <c r="D81" s="657"/>
      <c r="J81" s="276"/>
      <c r="M81" s="278"/>
      <c r="N81" s="157"/>
      <c r="O81" s="304"/>
      <c r="P81" s="304"/>
    </row>
    <row r="82" spans="3:16" s="159" customFormat="1" x14ac:dyDescent="0.2">
      <c r="C82" s="657"/>
      <c r="D82" s="657"/>
      <c r="J82" s="276"/>
      <c r="M82" s="278"/>
      <c r="N82" s="157"/>
      <c r="O82" s="304"/>
      <c r="P82" s="304"/>
    </row>
    <row r="83" spans="3:16" s="159" customFormat="1" x14ac:dyDescent="0.2">
      <c r="C83" s="657"/>
      <c r="D83" s="657"/>
      <c r="J83" s="276"/>
      <c r="M83" s="278"/>
      <c r="N83" s="157"/>
      <c r="O83" s="304"/>
      <c r="P83" s="304"/>
    </row>
    <row r="84" spans="3:16" s="159" customFormat="1" x14ac:dyDescent="0.2">
      <c r="C84" s="657"/>
      <c r="D84" s="657"/>
      <c r="J84" s="276"/>
      <c r="M84" s="278"/>
      <c r="N84" s="157"/>
      <c r="O84" s="304"/>
      <c r="P84" s="304"/>
    </row>
    <row r="85" spans="3:16" s="159" customFormat="1" x14ac:dyDescent="0.2">
      <c r="C85" s="657"/>
      <c r="D85" s="657"/>
      <c r="J85" s="276"/>
      <c r="M85" s="278"/>
      <c r="N85" s="157"/>
      <c r="O85" s="304"/>
      <c r="P85" s="304"/>
    </row>
    <row r="86" spans="3:16" s="159" customFormat="1" x14ac:dyDescent="0.2">
      <c r="C86" s="657"/>
      <c r="D86" s="657"/>
      <c r="J86" s="276"/>
      <c r="M86" s="278"/>
      <c r="N86" s="157"/>
      <c r="O86" s="304"/>
      <c r="P86" s="304"/>
    </row>
    <row r="87" spans="3:16" s="159" customFormat="1" x14ac:dyDescent="0.2">
      <c r="C87" s="657"/>
      <c r="D87" s="657"/>
      <c r="J87" s="276"/>
      <c r="M87" s="278"/>
      <c r="N87" s="157"/>
      <c r="O87" s="304"/>
      <c r="P87" s="304"/>
    </row>
    <row r="88" spans="3:16" s="159" customFormat="1" x14ac:dyDescent="0.2">
      <c r="C88" s="657"/>
      <c r="D88" s="657"/>
      <c r="J88" s="276"/>
      <c r="M88" s="278"/>
      <c r="N88" s="157"/>
      <c r="O88" s="304"/>
      <c r="P88" s="304"/>
    </row>
    <row r="89" spans="3:16" s="159" customFormat="1" x14ac:dyDescent="0.2">
      <c r="C89" s="657"/>
      <c r="D89" s="657"/>
      <c r="J89" s="276"/>
      <c r="M89" s="278"/>
      <c r="N89" s="157"/>
      <c r="O89" s="304"/>
      <c r="P89" s="304"/>
    </row>
    <row r="90" spans="3:16" s="159" customFormat="1" x14ac:dyDescent="0.2">
      <c r="C90" s="657"/>
      <c r="D90" s="657"/>
      <c r="J90" s="276"/>
      <c r="M90" s="278"/>
      <c r="N90" s="157"/>
      <c r="O90" s="304"/>
      <c r="P90" s="304"/>
    </row>
    <row r="91" spans="3:16" s="159" customFormat="1" x14ac:dyDescent="0.2">
      <c r="C91" s="657"/>
      <c r="D91" s="657"/>
      <c r="J91" s="276"/>
      <c r="M91" s="278"/>
      <c r="N91" s="157"/>
      <c r="O91" s="304"/>
      <c r="P91" s="304"/>
    </row>
    <row r="92" spans="3:16" s="159" customFormat="1" x14ac:dyDescent="0.2">
      <c r="C92" s="657"/>
      <c r="D92" s="657"/>
      <c r="J92" s="276"/>
      <c r="M92" s="278"/>
      <c r="N92" s="157"/>
      <c r="O92" s="304"/>
      <c r="P92" s="304"/>
    </row>
    <row r="93" spans="3:16" s="159" customFormat="1" x14ac:dyDescent="0.2">
      <c r="C93" s="657"/>
      <c r="D93" s="657"/>
      <c r="J93" s="276"/>
      <c r="M93" s="278"/>
      <c r="N93" s="157"/>
      <c r="O93" s="304"/>
      <c r="P93" s="304"/>
    </row>
    <row r="94" spans="3:16" s="159" customFormat="1" x14ac:dyDescent="0.2">
      <c r="C94" s="657"/>
      <c r="D94" s="657"/>
      <c r="J94" s="276"/>
      <c r="M94" s="278"/>
      <c r="N94" s="157"/>
      <c r="O94" s="304"/>
      <c r="P94" s="304"/>
    </row>
    <row r="95" spans="3:16" s="159" customFormat="1" x14ac:dyDescent="0.2">
      <c r="C95" s="657"/>
      <c r="D95" s="657"/>
      <c r="J95" s="276"/>
      <c r="M95" s="278"/>
      <c r="N95" s="157"/>
      <c r="O95" s="304"/>
      <c r="P95" s="304"/>
    </row>
    <row r="96" spans="3:16" s="159" customFormat="1" x14ac:dyDescent="0.2">
      <c r="C96" s="657"/>
      <c r="D96" s="657"/>
      <c r="J96" s="276"/>
      <c r="M96" s="278"/>
      <c r="N96" s="157"/>
      <c r="O96" s="304"/>
      <c r="P96" s="304"/>
    </row>
    <row r="97" spans="3:16" s="159" customFormat="1" x14ac:dyDescent="0.2">
      <c r="C97" s="657"/>
      <c r="D97" s="657"/>
      <c r="J97" s="276"/>
      <c r="M97" s="278"/>
      <c r="N97" s="157"/>
      <c r="O97" s="304"/>
      <c r="P97" s="304"/>
    </row>
    <row r="98" spans="3:16" s="159" customFormat="1" x14ac:dyDescent="0.2">
      <c r="C98" s="657"/>
      <c r="D98" s="657"/>
      <c r="J98" s="276"/>
      <c r="M98" s="278"/>
      <c r="N98" s="157"/>
      <c r="O98" s="304"/>
      <c r="P98" s="304"/>
    </row>
    <row r="99" spans="3:16" s="159" customFormat="1" x14ac:dyDescent="0.2">
      <c r="C99" s="657"/>
      <c r="D99" s="657"/>
      <c r="J99" s="276"/>
      <c r="M99" s="278"/>
      <c r="N99" s="157"/>
      <c r="O99" s="304"/>
      <c r="P99" s="304"/>
    </row>
    <row r="100" spans="3:16" s="159" customFormat="1" x14ac:dyDescent="0.2">
      <c r="C100" s="657"/>
      <c r="D100" s="657"/>
      <c r="J100" s="276"/>
      <c r="M100" s="278"/>
      <c r="N100" s="157"/>
      <c r="O100" s="304"/>
      <c r="P100" s="304"/>
    </row>
    <row r="101" spans="3:16" s="159" customFormat="1" x14ac:dyDescent="0.2">
      <c r="C101" s="657"/>
      <c r="D101" s="657"/>
      <c r="J101" s="276"/>
      <c r="M101" s="278"/>
      <c r="N101" s="157"/>
      <c r="O101" s="304"/>
      <c r="P101" s="304"/>
    </row>
    <row r="102" spans="3:16" s="159" customFormat="1" x14ac:dyDescent="0.2">
      <c r="C102" s="657"/>
      <c r="D102" s="657"/>
      <c r="J102" s="276"/>
      <c r="M102" s="278"/>
      <c r="N102" s="157"/>
      <c r="O102" s="304"/>
      <c r="P102" s="304"/>
    </row>
    <row r="103" spans="3:16" s="159" customFormat="1" x14ac:dyDescent="0.2">
      <c r="C103" s="657"/>
      <c r="D103" s="657"/>
      <c r="J103" s="276"/>
      <c r="M103" s="278"/>
      <c r="N103" s="157"/>
      <c r="O103" s="304"/>
      <c r="P103" s="304"/>
    </row>
    <row r="104" spans="3:16" s="159" customFormat="1" x14ac:dyDescent="0.2">
      <c r="C104" s="657"/>
      <c r="D104" s="657"/>
      <c r="J104" s="276"/>
      <c r="M104" s="278"/>
      <c r="N104" s="157"/>
      <c r="O104" s="304"/>
      <c r="P104" s="304"/>
    </row>
    <row r="105" spans="3:16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3:16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3:16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3:16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3:16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3:16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3:16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3:16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  <row r="235" spans="3:16" s="159" customFormat="1" x14ac:dyDescent="0.2">
      <c r="C235" s="657"/>
      <c r="D235" s="657"/>
      <c r="J235" s="276"/>
      <c r="M235" s="278"/>
      <c r="N235" s="157"/>
      <c r="O235" s="304"/>
      <c r="P235" s="304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J53:J54"/>
    <mergeCell ref="K53:K54"/>
    <mergeCell ref="F55:F56"/>
    <mergeCell ref="G55:G56"/>
    <mergeCell ref="I55:I56"/>
    <mergeCell ref="J55:J56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A249"/>
  <sheetViews>
    <sheetView zoomScale="90" zoomScaleNormal="75" zoomScaleSheetLayoutView="90" zoomScalePageLayoutView="75" workbookViewId="0">
      <selection activeCell="A70" sqref="A70"/>
    </sheetView>
  </sheetViews>
  <sheetFormatPr defaultColWidth="9.140625" defaultRowHeight="12.75" x14ac:dyDescent="0.2"/>
  <cols>
    <col min="1" max="1" width="12.140625" style="157" bestFit="1" customWidth="1"/>
    <col min="2" max="2" width="42.85546875" style="157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517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09"/>
      <c r="D9" s="1009"/>
      <c r="E9" s="1005"/>
      <c r="F9" s="1005"/>
      <c r="G9" s="1010"/>
      <c r="H9" s="1005"/>
      <c r="I9" s="1005"/>
      <c r="J9" s="1005"/>
      <c r="K9" s="1008"/>
      <c r="L9" s="470"/>
      <c r="M9" s="469"/>
      <c r="N9" s="415"/>
      <c r="O9" s="416"/>
      <c r="P9" s="416"/>
    </row>
    <row r="10" spans="1:17" ht="13.5" thickBot="1" x14ac:dyDescent="0.25">
      <c r="A10" s="403"/>
      <c r="B10" s="524"/>
      <c r="C10" s="1009"/>
      <c r="D10" s="1009"/>
      <c r="E10" s="1005"/>
      <c r="F10" s="1005"/>
      <c r="G10" s="1010"/>
      <c r="H10" s="1005"/>
      <c r="I10" s="1005"/>
      <c r="J10" s="1005"/>
      <c r="K10" s="1008"/>
      <c r="L10" s="470"/>
      <c r="M10" s="469"/>
      <c r="N10" s="415"/>
      <c r="O10" s="416"/>
      <c r="P10" s="416"/>
    </row>
    <row r="11" spans="1:17" ht="14.25" thickTop="1" thickBot="1" x14ac:dyDescent="0.25">
      <c r="A11" s="355" t="s">
        <v>0</v>
      </c>
      <c r="B11" s="356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357"/>
      <c r="K11" s="525"/>
      <c r="L11" s="951" t="s">
        <v>780</v>
      </c>
      <c r="M11" s="953" t="s">
        <v>781</v>
      </c>
      <c r="N11" s="955" t="s">
        <v>782</v>
      </c>
      <c r="O11" s="957"/>
      <c r="P11" s="959"/>
      <c r="Q11" s="949"/>
    </row>
    <row r="12" spans="1:17" ht="15.75" x14ac:dyDescent="0.25">
      <c r="A12" s="527" t="s">
        <v>518</v>
      </c>
      <c r="B12" s="527" t="s">
        <v>519</v>
      </c>
      <c r="C12" s="361" t="s">
        <v>19</v>
      </c>
      <c r="D12" s="362" t="s">
        <v>33</v>
      </c>
      <c r="E12" s="363" t="s">
        <v>35</v>
      </c>
      <c r="F12" s="364" t="s">
        <v>30</v>
      </c>
      <c r="G12" s="528" t="s">
        <v>14</v>
      </c>
      <c r="H12" s="363" t="s">
        <v>35</v>
      </c>
      <c r="I12" s="364" t="s">
        <v>30</v>
      </c>
      <c r="J12" s="366" t="s">
        <v>659</v>
      </c>
      <c r="K12" s="529" t="s">
        <v>38</v>
      </c>
      <c r="L12" s="952"/>
      <c r="M12" s="954"/>
      <c r="N12" s="956"/>
      <c r="O12" s="958"/>
      <c r="P12" s="960"/>
      <c r="Q12" s="950"/>
    </row>
    <row r="13" spans="1:17" ht="15" x14ac:dyDescent="0.2">
      <c r="A13" s="530" t="s">
        <v>518</v>
      </c>
      <c r="B13" s="194" t="s">
        <v>519</v>
      </c>
      <c r="C13" s="373"/>
      <c r="D13" s="374" t="s">
        <v>21</v>
      </c>
      <c r="E13" s="255">
        <v>0</v>
      </c>
      <c r="F13" s="375">
        <f t="shared" ref="F13:F24" si="0">C13*E13</f>
        <v>0</v>
      </c>
      <c r="G13" s="531"/>
      <c r="H13" s="377">
        <v>0</v>
      </c>
      <c r="I13" s="375">
        <f t="shared" ref="I13:I24" si="1">G13*H13</f>
        <v>0</v>
      </c>
      <c r="J13" s="378"/>
      <c r="K13" s="532">
        <f t="shared" ref="K13:K24" si="2">F13+I13+J13</f>
        <v>0</v>
      </c>
      <c r="L13" s="380"/>
      <c r="M13" s="381"/>
      <c r="N13" s="382"/>
      <c r="O13" s="383"/>
      <c r="P13" s="384"/>
      <c r="Q13" s="385"/>
    </row>
    <row r="14" spans="1:17" ht="15" x14ac:dyDescent="0.2">
      <c r="A14" s="530" t="s">
        <v>521</v>
      </c>
      <c r="B14" s="194" t="s">
        <v>520</v>
      </c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5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72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72"/>
      <c r="B17" s="6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380"/>
      <c r="M17" s="381"/>
      <c r="N17" s="382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380"/>
      <c r="M18" s="381"/>
      <c r="N18" s="382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157"/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157"/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538"/>
      <c r="M21" s="576"/>
      <c r="N21" s="539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540"/>
      <c r="M22" s="466"/>
      <c r="N22" s="541"/>
      <c r="O22" s="383"/>
      <c r="P22" s="384"/>
      <c r="Q22" s="385"/>
    </row>
    <row r="23" spans="1:17" x14ac:dyDescent="0.2">
      <c r="A23" s="386"/>
      <c r="B23" s="5"/>
      <c r="C23" s="373"/>
      <c r="D23" s="374" t="s">
        <v>21</v>
      </c>
      <c r="E23" s="255">
        <v>0</v>
      </c>
      <c r="F23" s="375">
        <f t="shared" si="0"/>
        <v>0</v>
      </c>
      <c r="G23" s="531"/>
      <c r="H23" s="377">
        <v>0</v>
      </c>
      <c r="I23" s="375">
        <f t="shared" si="1"/>
        <v>0</v>
      </c>
      <c r="J23" s="378"/>
      <c r="K23" s="532">
        <f t="shared" si="2"/>
        <v>0</v>
      </c>
      <c r="L23" s="157"/>
      <c r="M23" s="471"/>
      <c r="O23" s="383"/>
      <c r="P23" s="384"/>
      <c r="Q23" s="385"/>
    </row>
    <row r="24" spans="1:17" x14ac:dyDescent="0.2">
      <c r="A24" s="386"/>
      <c r="B24" s="5"/>
      <c r="C24" s="373"/>
      <c r="D24" s="374" t="s">
        <v>21</v>
      </c>
      <c r="E24" s="255">
        <v>0</v>
      </c>
      <c r="F24" s="375">
        <f t="shared" si="0"/>
        <v>0</v>
      </c>
      <c r="G24" s="531"/>
      <c r="H24" s="377">
        <v>0</v>
      </c>
      <c r="I24" s="375">
        <f t="shared" si="1"/>
        <v>0</v>
      </c>
      <c r="J24" s="378"/>
      <c r="K24" s="532">
        <f t="shared" si="2"/>
        <v>0</v>
      </c>
      <c r="L24" s="157"/>
      <c r="M24" s="471"/>
      <c r="O24" s="383"/>
      <c r="P24" s="384"/>
      <c r="Q24" s="385"/>
    </row>
    <row r="25" spans="1:17" ht="13.5" thickBot="1" x14ac:dyDescent="0.25">
      <c r="A25" s="389"/>
      <c r="B25" s="7"/>
      <c r="C25" s="390"/>
      <c r="D25" s="374"/>
      <c r="E25" s="255"/>
      <c r="F25" s="375"/>
      <c r="G25" s="531"/>
      <c r="H25" s="377"/>
      <c r="I25" s="375"/>
      <c r="J25" s="378"/>
      <c r="K25" s="532"/>
      <c r="L25" s="157"/>
      <c r="M25" s="471"/>
      <c r="O25" s="383"/>
      <c r="P25" s="384"/>
      <c r="Q25" s="385"/>
    </row>
    <row r="26" spans="1:17" ht="13.5" thickTop="1" x14ac:dyDescent="0.2">
      <c r="A26" s="389"/>
      <c r="B26" s="7"/>
      <c r="C26" s="390"/>
      <c r="D26" s="374"/>
      <c r="E26" s="255"/>
      <c r="F26" s="375"/>
      <c r="G26" s="531"/>
      <c r="H26" s="377"/>
      <c r="I26" s="375"/>
      <c r="J26" s="391" t="s">
        <v>30</v>
      </c>
      <c r="K26" s="534">
        <f>SUM(K13:K25)</f>
        <v>0</v>
      </c>
      <c r="L26" s="157"/>
      <c r="M26" s="471"/>
      <c r="O26" s="383"/>
      <c r="P26" s="384"/>
      <c r="Q26" s="385"/>
    </row>
    <row r="27" spans="1:17" ht="13.5" thickBot="1" x14ac:dyDescent="0.25">
      <c r="A27" s="355" t="s">
        <v>0</v>
      </c>
      <c r="B27" s="356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357"/>
      <c r="K27" s="525"/>
      <c r="L27" s="393"/>
      <c r="M27" s="394"/>
      <c r="N27" s="395"/>
      <c r="O27" s="383"/>
      <c r="P27" s="384"/>
      <c r="Q27" s="385"/>
    </row>
    <row r="28" spans="1:17" ht="15.75" x14ac:dyDescent="0.25">
      <c r="A28" s="527" t="s">
        <v>522</v>
      </c>
      <c r="B28" s="527" t="s">
        <v>523</v>
      </c>
      <c r="C28" s="398" t="s">
        <v>19</v>
      </c>
      <c r="D28" s="399" t="s">
        <v>33</v>
      </c>
      <c r="E28" s="400" t="s">
        <v>35</v>
      </c>
      <c r="F28" s="401" t="s">
        <v>30</v>
      </c>
      <c r="G28" s="535" t="s">
        <v>14</v>
      </c>
      <c r="H28" s="400" t="s">
        <v>35</v>
      </c>
      <c r="I28" s="401" t="s">
        <v>30</v>
      </c>
      <c r="J28" s="366" t="s">
        <v>659</v>
      </c>
      <c r="K28" s="536" t="s">
        <v>38</v>
      </c>
      <c r="L28" s="404"/>
      <c r="M28" s="405"/>
      <c r="N28" s="406"/>
      <c r="O28" s="383"/>
      <c r="P28" s="384"/>
      <c r="Q28" s="385"/>
    </row>
    <row r="29" spans="1:17" s="159" customFormat="1" ht="15" x14ac:dyDescent="0.2">
      <c r="A29" s="194" t="s">
        <v>524</v>
      </c>
      <c r="B29" s="194" t="s">
        <v>525</v>
      </c>
      <c r="C29" s="373"/>
      <c r="D29" s="374" t="s">
        <v>21</v>
      </c>
      <c r="E29" s="255">
        <v>0</v>
      </c>
      <c r="F29" s="375">
        <f>C29*E29</f>
        <v>0</v>
      </c>
      <c r="G29" s="531"/>
      <c r="H29" s="377">
        <v>0</v>
      </c>
      <c r="I29" s="375">
        <f>G29*H29</f>
        <v>0</v>
      </c>
      <c r="J29" s="378"/>
      <c r="K29" s="532">
        <f>F29+I29+J29</f>
        <v>0</v>
      </c>
      <c r="M29" s="276"/>
      <c r="O29" s="383"/>
      <c r="P29" s="384"/>
      <c r="Q29" s="385"/>
    </row>
    <row r="30" spans="1:17" s="159" customFormat="1" x14ac:dyDescent="0.2">
      <c r="A30" s="158" t="s">
        <v>528</v>
      </c>
      <c r="B30" s="159" t="s">
        <v>526</v>
      </c>
      <c r="C30" s="373"/>
      <c r="D30" s="374" t="s">
        <v>21</v>
      </c>
      <c r="E30" s="255">
        <v>0</v>
      </c>
      <c r="F30" s="375">
        <f>C30*E30</f>
        <v>0</v>
      </c>
      <c r="G30" s="531"/>
      <c r="H30" s="377">
        <v>0</v>
      </c>
      <c r="I30" s="375">
        <f>G30*H30</f>
        <v>0</v>
      </c>
      <c r="J30" s="378"/>
      <c r="K30" s="532">
        <f>F30+I30+J30</f>
        <v>0</v>
      </c>
      <c r="M30" s="278"/>
      <c r="N30" s="157"/>
      <c r="O30" s="383"/>
      <c r="P30" s="384"/>
      <c r="Q30" s="385"/>
    </row>
    <row r="31" spans="1:17" s="159" customFormat="1" x14ac:dyDescent="0.2">
      <c r="A31" s="158" t="s">
        <v>529</v>
      </c>
      <c r="B31" s="159" t="s">
        <v>527</v>
      </c>
      <c r="C31" s="373"/>
      <c r="D31" s="374" t="s">
        <v>21</v>
      </c>
      <c r="E31" s="255">
        <v>0</v>
      </c>
      <c r="F31" s="375">
        <f t="shared" ref="F31:F47" si="3">C31*E31</f>
        <v>0</v>
      </c>
      <c r="G31" s="531"/>
      <c r="H31" s="377">
        <v>0</v>
      </c>
      <c r="I31" s="375">
        <f t="shared" ref="I31:I47" si="4">G31*H31</f>
        <v>0</v>
      </c>
      <c r="J31" s="378"/>
      <c r="K31" s="532">
        <f t="shared" ref="K31:K47" si="5">F31+I31+J31</f>
        <v>0</v>
      </c>
      <c r="L31" s="380"/>
      <c r="M31" s="381"/>
      <c r="N31" s="382"/>
      <c r="O31" s="383"/>
      <c r="P31" s="384"/>
      <c r="Q31" s="385"/>
    </row>
    <row r="32" spans="1:17" s="159" customFormat="1" ht="15" x14ac:dyDescent="0.2">
      <c r="A32" s="194" t="s">
        <v>530</v>
      </c>
      <c r="B32" s="194" t="s">
        <v>531</v>
      </c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L32" s="380"/>
      <c r="M32" s="381"/>
      <c r="N32" s="382"/>
      <c r="O32" s="383"/>
      <c r="P32" s="384"/>
      <c r="Q32" s="385"/>
    </row>
    <row r="33" spans="1:17" s="159" customFormat="1" x14ac:dyDescent="0.2">
      <c r="A33" s="158" t="s">
        <v>532</v>
      </c>
      <c r="B33" s="159" t="s">
        <v>533</v>
      </c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538"/>
      <c r="M33" s="576"/>
      <c r="N33" s="539"/>
      <c r="O33" s="383"/>
      <c r="P33" s="384"/>
      <c r="Q33" s="385"/>
    </row>
    <row r="34" spans="1:17" s="159" customFormat="1" x14ac:dyDescent="0.2">
      <c r="A34" s="158" t="s">
        <v>544</v>
      </c>
      <c r="B34" s="159" t="s">
        <v>531</v>
      </c>
      <c r="C34" s="373"/>
      <c r="D34" s="374" t="s">
        <v>21</v>
      </c>
      <c r="E34" s="255">
        <v>0</v>
      </c>
      <c r="F34" s="375">
        <f t="shared" si="3"/>
        <v>0</v>
      </c>
      <c r="G34" s="531"/>
      <c r="H34" s="377">
        <v>0</v>
      </c>
      <c r="I34" s="375">
        <f t="shared" si="4"/>
        <v>0</v>
      </c>
      <c r="J34" s="378"/>
      <c r="K34" s="532">
        <f t="shared" si="5"/>
        <v>0</v>
      </c>
      <c r="M34" s="276"/>
      <c r="O34" s="383"/>
      <c r="P34" s="384"/>
      <c r="Q34" s="385"/>
    </row>
    <row r="35" spans="1:17" s="159" customFormat="1" x14ac:dyDescent="0.2">
      <c r="A35" s="677" t="s">
        <v>545</v>
      </c>
      <c r="B35" s="677" t="s">
        <v>534</v>
      </c>
      <c r="C35" s="373"/>
      <c r="D35" s="374" t="s">
        <v>21</v>
      </c>
      <c r="E35" s="255">
        <v>0</v>
      </c>
      <c r="F35" s="375">
        <f t="shared" si="3"/>
        <v>0</v>
      </c>
      <c r="G35" s="531"/>
      <c r="H35" s="377">
        <v>0</v>
      </c>
      <c r="I35" s="375">
        <f t="shared" si="4"/>
        <v>0</v>
      </c>
      <c r="J35" s="378"/>
      <c r="K35" s="532">
        <f t="shared" si="5"/>
        <v>0</v>
      </c>
      <c r="M35" s="276"/>
      <c r="O35" s="383"/>
      <c r="P35" s="384"/>
      <c r="Q35" s="385"/>
    </row>
    <row r="36" spans="1:17" s="159" customFormat="1" x14ac:dyDescent="0.2">
      <c r="A36" s="677" t="s">
        <v>546</v>
      </c>
      <c r="B36" s="677" t="s">
        <v>535</v>
      </c>
      <c r="C36" s="373"/>
      <c r="D36" s="374" t="s">
        <v>21</v>
      </c>
      <c r="E36" s="255">
        <v>0</v>
      </c>
      <c r="F36" s="375">
        <f t="shared" si="3"/>
        <v>0</v>
      </c>
      <c r="G36" s="531"/>
      <c r="H36" s="377">
        <v>0</v>
      </c>
      <c r="I36" s="375">
        <f t="shared" si="4"/>
        <v>0</v>
      </c>
      <c r="J36" s="378"/>
      <c r="K36" s="532">
        <f t="shared" si="5"/>
        <v>0</v>
      </c>
      <c r="L36" s="157"/>
      <c r="M36" s="471"/>
      <c r="N36" s="157"/>
      <c r="O36" s="383"/>
      <c r="P36" s="384"/>
      <c r="Q36" s="385"/>
    </row>
    <row r="37" spans="1:17" s="159" customFormat="1" x14ac:dyDescent="0.2">
      <c r="A37" s="677" t="s">
        <v>547</v>
      </c>
      <c r="B37" s="677" t="s">
        <v>536</v>
      </c>
      <c r="C37" s="373"/>
      <c r="D37" s="374" t="s">
        <v>21</v>
      </c>
      <c r="E37" s="255">
        <v>0</v>
      </c>
      <c r="F37" s="375">
        <f t="shared" si="3"/>
        <v>0</v>
      </c>
      <c r="G37" s="531"/>
      <c r="H37" s="377">
        <v>0</v>
      </c>
      <c r="I37" s="375">
        <f t="shared" si="4"/>
        <v>0</v>
      </c>
      <c r="J37" s="378"/>
      <c r="K37" s="532">
        <f t="shared" si="5"/>
        <v>0</v>
      </c>
      <c r="L37" s="380"/>
      <c r="M37" s="381"/>
      <c r="N37" s="382"/>
      <c r="O37" s="383"/>
      <c r="P37" s="384"/>
      <c r="Q37" s="385"/>
    </row>
    <row r="38" spans="1:17" s="159" customFormat="1" x14ac:dyDescent="0.2">
      <c r="A38" s="158" t="s">
        <v>548</v>
      </c>
      <c r="B38" s="159" t="s">
        <v>537</v>
      </c>
      <c r="C38" s="373"/>
      <c r="D38" s="374" t="s">
        <v>21</v>
      </c>
      <c r="E38" s="255">
        <v>0</v>
      </c>
      <c r="F38" s="375">
        <f t="shared" si="3"/>
        <v>0</v>
      </c>
      <c r="G38" s="531"/>
      <c r="H38" s="377">
        <v>0</v>
      </c>
      <c r="I38" s="375">
        <f t="shared" si="4"/>
        <v>0</v>
      </c>
      <c r="J38" s="378"/>
      <c r="K38" s="532">
        <f t="shared" si="5"/>
        <v>0</v>
      </c>
      <c r="L38" s="538"/>
      <c r="M38" s="576"/>
      <c r="N38" s="539"/>
      <c r="O38" s="383"/>
      <c r="P38" s="384"/>
      <c r="Q38" s="385"/>
    </row>
    <row r="39" spans="1:17" s="159" customFormat="1" x14ac:dyDescent="0.2">
      <c r="A39" s="158" t="s">
        <v>549</v>
      </c>
      <c r="B39" s="159" t="s">
        <v>538</v>
      </c>
      <c r="C39" s="373"/>
      <c r="D39" s="374" t="s">
        <v>21</v>
      </c>
      <c r="E39" s="255">
        <v>0</v>
      </c>
      <c r="F39" s="375">
        <f t="shared" si="3"/>
        <v>0</v>
      </c>
      <c r="G39" s="531"/>
      <c r="H39" s="377">
        <v>0</v>
      </c>
      <c r="I39" s="375">
        <f t="shared" si="4"/>
        <v>0</v>
      </c>
      <c r="J39" s="378"/>
      <c r="K39" s="532">
        <f t="shared" si="5"/>
        <v>0</v>
      </c>
      <c r="L39" s="540"/>
      <c r="M39" s="668"/>
      <c r="N39" s="667"/>
      <c r="O39" s="412"/>
      <c r="P39" s="413"/>
      <c r="Q39" s="385"/>
    </row>
    <row r="40" spans="1:17" s="159" customFormat="1" x14ac:dyDescent="0.2">
      <c r="A40" s="677" t="s">
        <v>550</v>
      </c>
      <c r="B40" s="677" t="s">
        <v>539</v>
      </c>
      <c r="C40" s="373"/>
      <c r="D40" s="374" t="s">
        <v>21</v>
      </c>
      <c r="E40" s="255">
        <v>0</v>
      </c>
      <c r="F40" s="375">
        <f t="shared" si="3"/>
        <v>0</v>
      </c>
      <c r="G40" s="531"/>
      <c r="H40" s="377">
        <v>0</v>
      </c>
      <c r="I40" s="375">
        <f t="shared" si="4"/>
        <v>0</v>
      </c>
      <c r="J40" s="378"/>
      <c r="K40" s="532">
        <f t="shared" si="5"/>
        <v>0</v>
      </c>
      <c r="L40" s="380"/>
      <c r="M40" s="381"/>
      <c r="N40" s="382"/>
      <c r="O40" s="412"/>
      <c r="P40" s="413"/>
      <c r="Q40" s="385"/>
    </row>
    <row r="41" spans="1:17" s="159" customFormat="1" x14ac:dyDescent="0.2">
      <c r="A41" s="677" t="s">
        <v>551</v>
      </c>
      <c r="B41" s="677" t="s">
        <v>540</v>
      </c>
      <c r="C41" s="373"/>
      <c r="D41" s="374" t="s">
        <v>21</v>
      </c>
      <c r="E41" s="255">
        <v>0</v>
      </c>
      <c r="F41" s="375">
        <f t="shared" si="3"/>
        <v>0</v>
      </c>
      <c r="G41" s="531"/>
      <c r="H41" s="377">
        <v>0</v>
      </c>
      <c r="I41" s="375">
        <f t="shared" si="4"/>
        <v>0</v>
      </c>
      <c r="J41" s="378"/>
      <c r="K41" s="532">
        <f t="shared" si="5"/>
        <v>0</v>
      </c>
      <c r="M41" s="276"/>
      <c r="O41" s="412"/>
      <c r="P41" s="413"/>
      <c r="Q41" s="385"/>
    </row>
    <row r="42" spans="1:17" s="159" customFormat="1" x14ac:dyDescent="0.2">
      <c r="A42" s="677" t="s">
        <v>552</v>
      </c>
      <c r="B42" s="677" t="s">
        <v>541</v>
      </c>
      <c r="C42" s="373"/>
      <c r="D42" s="374" t="s">
        <v>21</v>
      </c>
      <c r="E42" s="255">
        <v>0</v>
      </c>
      <c r="F42" s="375">
        <f t="shared" si="3"/>
        <v>0</v>
      </c>
      <c r="G42" s="531"/>
      <c r="H42" s="377">
        <v>0</v>
      </c>
      <c r="I42" s="375">
        <f t="shared" si="4"/>
        <v>0</v>
      </c>
      <c r="J42" s="378"/>
      <c r="K42" s="532">
        <f t="shared" si="5"/>
        <v>0</v>
      </c>
      <c r="M42" s="276"/>
      <c r="O42" s="412"/>
      <c r="P42" s="413"/>
      <c r="Q42" s="385"/>
    </row>
    <row r="43" spans="1:17" s="159" customFormat="1" x14ac:dyDescent="0.2">
      <c r="A43" s="677" t="s">
        <v>553</v>
      </c>
      <c r="B43" s="677" t="s">
        <v>542</v>
      </c>
      <c r="C43" s="373"/>
      <c r="D43" s="374" t="s">
        <v>21</v>
      </c>
      <c r="E43" s="255">
        <v>0</v>
      </c>
      <c r="F43" s="375">
        <f t="shared" si="3"/>
        <v>0</v>
      </c>
      <c r="G43" s="531"/>
      <c r="H43" s="377">
        <v>0</v>
      </c>
      <c r="I43" s="375">
        <f t="shared" si="4"/>
        <v>0</v>
      </c>
      <c r="J43" s="378"/>
      <c r="K43" s="532">
        <f t="shared" si="5"/>
        <v>0</v>
      </c>
      <c r="L43" s="380"/>
      <c r="M43" s="381"/>
      <c r="N43" s="382"/>
      <c r="O43" s="412"/>
      <c r="P43" s="413"/>
      <c r="Q43" s="385"/>
    </row>
    <row r="44" spans="1:17" s="159" customFormat="1" x14ac:dyDescent="0.2">
      <c r="A44" s="158" t="s">
        <v>554</v>
      </c>
      <c r="B44" s="159" t="s">
        <v>543</v>
      </c>
      <c r="C44" s="373"/>
      <c r="D44" s="374" t="s">
        <v>21</v>
      </c>
      <c r="E44" s="255">
        <v>0</v>
      </c>
      <c r="F44" s="375">
        <f t="shared" si="3"/>
        <v>0</v>
      </c>
      <c r="G44" s="531"/>
      <c r="H44" s="377">
        <v>0</v>
      </c>
      <c r="I44" s="375">
        <f t="shared" si="4"/>
        <v>0</v>
      </c>
      <c r="J44" s="378"/>
      <c r="K44" s="532">
        <f t="shared" si="5"/>
        <v>0</v>
      </c>
      <c r="M44" s="278"/>
      <c r="N44" s="157"/>
      <c r="O44" s="412"/>
      <c r="P44" s="413"/>
      <c r="Q44" s="385"/>
    </row>
    <row r="45" spans="1:17" s="159" customFormat="1" ht="15" x14ac:dyDescent="0.2">
      <c r="A45" s="194" t="s">
        <v>555</v>
      </c>
      <c r="B45" s="194" t="s">
        <v>556</v>
      </c>
      <c r="C45" s="373"/>
      <c r="D45" s="374" t="s">
        <v>21</v>
      </c>
      <c r="E45" s="255">
        <v>0</v>
      </c>
      <c r="F45" s="375">
        <f t="shared" si="3"/>
        <v>0</v>
      </c>
      <c r="G45" s="531"/>
      <c r="H45" s="377">
        <v>0</v>
      </c>
      <c r="I45" s="375">
        <f t="shared" si="4"/>
        <v>0</v>
      </c>
      <c r="J45" s="378"/>
      <c r="K45" s="532">
        <f t="shared" si="5"/>
        <v>0</v>
      </c>
      <c r="M45" s="278"/>
      <c r="N45" s="157"/>
      <c r="O45" s="383"/>
      <c r="P45" s="384"/>
      <c r="Q45" s="385"/>
    </row>
    <row r="46" spans="1:17" s="159" customFormat="1" x14ac:dyDescent="0.2">
      <c r="C46" s="373"/>
      <c r="D46" s="374" t="s">
        <v>21</v>
      </c>
      <c r="E46" s="255">
        <v>0</v>
      </c>
      <c r="F46" s="375">
        <f t="shared" si="3"/>
        <v>0</v>
      </c>
      <c r="G46" s="531"/>
      <c r="H46" s="377">
        <v>0</v>
      </c>
      <c r="I46" s="375">
        <f t="shared" si="4"/>
        <v>0</v>
      </c>
      <c r="J46" s="378"/>
      <c r="K46" s="532">
        <f t="shared" si="5"/>
        <v>0</v>
      </c>
      <c r="M46" s="276"/>
      <c r="O46" s="383"/>
      <c r="P46" s="384"/>
      <c r="Q46" s="385"/>
    </row>
    <row r="47" spans="1:17" s="159" customFormat="1" x14ac:dyDescent="0.2">
      <c r="C47" s="373"/>
      <c r="D47" s="374" t="s">
        <v>21</v>
      </c>
      <c r="E47" s="255">
        <v>0</v>
      </c>
      <c r="F47" s="375">
        <f t="shared" si="3"/>
        <v>0</v>
      </c>
      <c r="G47" s="531"/>
      <c r="H47" s="377">
        <v>0</v>
      </c>
      <c r="I47" s="375">
        <f t="shared" si="4"/>
        <v>0</v>
      </c>
      <c r="J47" s="378"/>
      <c r="K47" s="532">
        <f t="shared" si="5"/>
        <v>0</v>
      </c>
      <c r="M47" s="276"/>
      <c r="O47" s="383"/>
      <c r="P47" s="413"/>
      <c r="Q47" s="385"/>
    </row>
    <row r="48" spans="1:17" s="159" customFormat="1" ht="13.5" thickBot="1" x14ac:dyDescent="0.25">
      <c r="A48" s="372"/>
      <c r="B48" s="5"/>
      <c r="C48" s="390"/>
      <c r="D48" s="374"/>
      <c r="E48" s="255"/>
      <c r="F48" s="375"/>
      <c r="G48" s="531"/>
      <c r="H48" s="377"/>
      <c r="I48" s="375"/>
      <c r="J48" s="378"/>
      <c r="K48" s="537"/>
      <c r="L48" s="380"/>
      <c r="M48" s="257"/>
      <c r="N48" s="423"/>
      <c r="O48" s="383"/>
      <c r="P48" s="384"/>
      <c r="Q48" s="385"/>
    </row>
    <row r="49" spans="1:27" s="159" customFormat="1" ht="13.5" thickTop="1" x14ac:dyDescent="0.2">
      <c r="A49" s="389"/>
      <c r="B49" s="5"/>
      <c r="C49" s="390"/>
      <c r="D49" s="374"/>
      <c r="E49" s="255"/>
      <c r="F49" s="375"/>
      <c r="G49" s="531"/>
      <c r="H49" s="377"/>
      <c r="I49" s="375"/>
      <c r="J49" s="391" t="s">
        <v>30</v>
      </c>
      <c r="K49" s="534">
        <f>SUM(K29:K48)</f>
        <v>0</v>
      </c>
      <c r="L49" s="538"/>
      <c r="M49" s="576"/>
      <c r="N49" s="539"/>
      <c r="O49" s="383"/>
      <c r="P49" s="384"/>
      <c r="Q49" s="385"/>
    </row>
    <row r="50" spans="1:27" s="159" customFormat="1" ht="13.5" thickBot="1" x14ac:dyDescent="0.25">
      <c r="A50" s="355" t="s">
        <v>0</v>
      </c>
      <c r="B50" s="356" t="s">
        <v>1</v>
      </c>
      <c r="C50" s="948" t="s">
        <v>656</v>
      </c>
      <c r="D50" s="948"/>
      <c r="E50" s="948"/>
      <c r="F50" s="948"/>
      <c r="G50" s="948" t="s">
        <v>34</v>
      </c>
      <c r="H50" s="948"/>
      <c r="I50" s="948"/>
      <c r="J50" s="357"/>
      <c r="K50" s="525"/>
      <c r="L50" s="393"/>
      <c r="M50" s="394"/>
      <c r="N50" s="395"/>
      <c r="O50" s="383"/>
      <c r="P50" s="384"/>
      <c r="Q50" s="385"/>
    </row>
    <row r="51" spans="1:27" s="159" customFormat="1" ht="16.5" thickBot="1" x14ac:dyDescent="0.3">
      <c r="A51" s="807" t="s">
        <v>558</v>
      </c>
      <c r="B51" s="807" t="s">
        <v>557</v>
      </c>
      <c r="C51" s="398" t="s">
        <v>19</v>
      </c>
      <c r="D51" s="399" t="s">
        <v>33</v>
      </c>
      <c r="E51" s="400" t="s">
        <v>35</v>
      </c>
      <c r="F51" s="401" t="s">
        <v>30</v>
      </c>
      <c r="G51" s="535" t="s">
        <v>14</v>
      </c>
      <c r="H51" s="400" t="s">
        <v>35</v>
      </c>
      <c r="I51" s="401" t="s">
        <v>30</v>
      </c>
      <c r="J51" s="366" t="s">
        <v>659</v>
      </c>
      <c r="K51" s="536" t="s">
        <v>38</v>
      </c>
      <c r="L51" s="404"/>
      <c r="M51" s="410"/>
      <c r="N51" s="411"/>
      <c r="O51" s="383"/>
      <c r="P51" s="384"/>
      <c r="Q51" s="385"/>
      <c r="Z51" s="196"/>
      <c r="AA51" s="196"/>
    </row>
    <row r="52" spans="1:27" s="159" customFormat="1" ht="15" x14ac:dyDescent="0.2">
      <c r="A52" s="407"/>
      <c r="B52" s="408"/>
      <c r="C52" s="373"/>
      <c r="D52" s="374" t="s">
        <v>21</v>
      </c>
      <c r="E52" s="255">
        <v>0</v>
      </c>
      <c r="F52" s="375">
        <f>C52*E52</f>
        <v>0</v>
      </c>
      <c r="G52" s="531"/>
      <c r="H52" s="377">
        <v>0</v>
      </c>
      <c r="I52" s="375">
        <f>G52*H52</f>
        <v>0</v>
      </c>
      <c r="J52" s="378"/>
      <c r="K52" s="532">
        <f>F52+I52+J52</f>
        <v>0</v>
      </c>
      <c r="L52" s="380"/>
      <c r="M52" s="257"/>
      <c r="N52" s="423"/>
      <c r="O52" s="383"/>
      <c r="P52" s="384"/>
      <c r="Q52" s="385"/>
      <c r="Z52" s="196"/>
      <c r="AA52" s="196"/>
    </row>
    <row r="53" spans="1:27" s="159" customFormat="1" x14ac:dyDescent="0.2">
      <c r="A53" s="372"/>
      <c r="B53" s="5"/>
      <c r="C53" s="373"/>
      <c r="D53" s="374" t="s">
        <v>21</v>
      </c>
      <c r="E53" s="255">
        <v>0</v>
      </c>
      <c r="F53" s="375">
        <f>C53*E53</f>
        <v>0</v>
      </c>
      <c r="G53" s="531"/>
      <c r="H53" s="377">
        <v>0</v>
      </c>
      <c r="I53" s="375">
        <f>G53*H53</f>
        <v>0</v>
      </c>
      <c r="J53" s="378"/>
      <c r="K53" s="532">
        <f>F53+I53+J53</f>
        <v>0</v>
      </c>
      <c r="L53" s="380"/>
      <c r="M53" s="257"/>
      <c r="N53" s="382"/>
      <c r="O53" s="383"/>
      <c r="P53" s="384"/>
      <c r="Q53" s="385"/>
    </row>
    <row r="54" spans="1:27" s="159" customFormat="1" x14ac:dyDescent="0.2">
      <c r="A54" s="372"/>
      <c r="B54" s="5"/>
      <c r="C54" s="373"/>
      <c r="D54" s="374" t="s">
        <v>21</v>
      </c>
      <c r="E54" s="255">
        <v>0</v>
      </c>
      <c r="F54" s="375">
        <f>C54*E54</f>
        <v>0</v>
      </c>
      <c r="G54" s="531"/>
      <c r="H54" s="377">
        <v>0</v>
      </c>
      <c r="I54" s="375">
        <f>G54*H54</f>
        <v>0</v>
      </c>
      <c r="J54" s="378"/>
      <c r="K54" s="532">
        <f>F54+I54+J54</f>
        <v>0</v>
      </c>
      <c r="L54" s="157"/>
      <c r="M54" s="471"/>
      <c r="N54" s="157"/>
      <c r="O54" s="438"/>
      <c r="P54" s="439"/>
      <c r="Q54" s="385"/>
    </row>
    <row r="55" spans="1:27" s="159" customFormat="1" x14ac:dyDescent="0.2">
      <c r="A55" s="389"/>
      <c r="B55" s="414"/>
      <c r="C55" s="390"/>
      <c r="D55" s="374"/>
      <c r="E55" s="255"/>
      <c r="F55" s="375"/>
      <c r="G55" s="531"/>
      <c r="H55" s="377"/>
      <c r="I55" s="375"/>
      <c r="J55" s="378"/>
      <c r="K55" s="537"/>
      <c r="M55" s="276"/>
      <c r="O55" s="438"/>
      <c r="P55" s="439"/>
      <c r="Q55" s="385"/>
    </row>
    <row r="56" spans="1:27" s="159" customFormat="1" ht="13.5" thickBot="1" x14ac:dyDescent="0.25">
      <c r="A56" s="389"/>
      <c r="B56" s="414"/>
      <c r="C56" s="390"/>
      <c r="D56" s="374"/>
      <c r="E56" s="255"/>
      <c r="F56" s="375"/>
      <c r="G56" s="531"/>
      <c r="H56" s="377"/>
      <c r="I56" s="375"/>
      <c r="J56" s="378"/>
      <c r="K56" s="537"/>
      <c r="M56" s="276"/>
      <c r="O56" s="412"/>
      <c r="P56" s="413"/>
      <c r="Q56" s="385"/>
    </row>
    <row r="57" spans="1:27" s="159" customFormat="1" ht="13.5" thickTop="1" x14ac:dyDescent="0.2">
      <c r="A57" s="389"/>
      <c r="B57" s="414"/>
      <c r="C57" s="390"/>
      <c r="D57" s="374"/>
      <c r="E57" s="255"/>
      <c r="F57" s="375"/>
      <c r="G57" s="531"/>
      <c r="H57" s="377"/>
      <c r="I57" s="375"/>
      <c r="J57" s="391" t="s">
        <v>30</v>
      </c>
      <c r="K57" s="534">
        <f>SUM(K52:K56)</f>
        <v>0</v>
      </c>
      <c r="M57" s="276"/>
      <c r="O57" s="383"/>
      <c r="P57" s="384"/>
      <c r="Q57" s="385"/>
    </row>
    <row r="58" spans="1:27" s="159" customFormat="1" ht="13.5" thickBot="1" x14ac:dyDescent="0.25">
      <c r="A58" s="355" t="s">
        <v>0</v>
      </c>
      <c r="B58" s="356" t="s">
        <v>1</v>
      </c>
      <c r="C58" s="948" t="s">
        <v>656</v>
      </c>
      <c r="D58" s="948"/>
      <c r="E58" s="948"/>
      <c r="F58" s="948"/>
      <c r="G58" s="948" t="s">
        <v>34</v>
      </c>
      <c r="H58" s="948"/>
      <c r="I58" s="948"/>
      <c r="J58" s="357"/>
      <c r="K58" s="525"/>
      <c r="L58" s="393"/>
      <c r="M58" s="394"/>
      <c r="N58" s="395"/>
      <c r="O58" s="383"/>
      <c r="P58" s="384"/>
      <c r="Q58" s="385"/>
    </row>
    <row r="59" spans="1:27" s="159" customFormat="1" ht="16.5" thickBot="1" x14ac:dyDescent="0.3">
      <c r="A59" s="807" t="s">
        <v>559</v>
      </c>
      <c r="B59" s="807" t="s">
        <v>560</v>
      </c>
      <c r="C59" s="398" t="s">
        <v>19</v>
      </c>
      <c r="D59" s="399" t="s">
        <v>33</v>
      </c>
      <c r="E59" s="400" t="s">
        <v>35</v>
      </c>
      <c r="F59" s="401" t="s">
        <v>30</v>
      </c>
      <c r="G59" s="535" t="s">
        <v>14</v>
      </c>
      <c r="H59" s="400" t="s">
        <v>35</v>
      </c>
      <c r="I59" s="401" t="s">
        <v>30</v>
      </c>
      <c r="J59" s="366" t="s">
        <v>659</v>
      </c>
      <c r="K59" s="536" t="s">
        <v>38</v>
      </c>
      <c r="L59" s="404"/>
      <c r="M59" s="410"/>
      <c r="N59" s="411"/>
      <c r="O59" s="383"/>
      <c r="P59" s="384"/>
      <c r="Q59" s="385"/>
    </row>
    <row r="60" spans="1:27" s="159" customFormat="1" x14ac:dyDescent="0.2">
      <c r="A60" s="407"/>
      <c r="B60" s="408"/>
      <c r="C60" s="373"/>
      <c r="D60" s="374" t="s">
        <v>21</v>
      </c>
      <c r="E60" s="255">
        <v>0</v>
      </c>
      <c r="F60" s="375">
        <f>C60*E60</f>
        <v>0</v>
      </c>
      <c r="G60" s="531"/>
      <c r="H60" s="377">
        <v>0</v>
      </c>
      <c r="I60" s="375">
        <f>G60*H60</f>
        <v>0</v>
      </c>
      <c r="J60" s="378"/>
      <c r="K60" s="532">
        <f>F60+I60+J60</f>
        <v>0</v>
      </c>
      <c r="L60" s="380"/>
      <c r="M60" s="257"/>
      <c r="N60" s="382"/>
      <c r="O60" s="383"/>
      <c r="P60" s="384"/>
      <c r="Q60" s="385"/>
    </row>
    <row r="61" spans="1:27" s="159" customFormat="1" x14ac:dyDescent="0.2">
      <c r="A61" s="372"/>
      <c r="B61" s="5"/>
      <c r="C61" s="373"/>
      <c r="D61" s="374" t="s">
        <v>21</v>
      </c>
      <c r="E61" s="255">
        <v>0</v>
      </c>
      <c r="F61" s="375">
        <f>C61*E61</f>
        <v>0</v>
      </c>
      <c r="G61" s="531"/>
      <c r="H61" s="377">
        <v>0</v>
      </c>
      <c r="I61" s="375">
        <f>G61*H61</f>
        <v>0</v>
      </c>
      <c r="J61" s="378"/>
      <c r="K61" s="532">
        <f>F61+I61+J61</f>
        <v>0</v>
      </c>
      <c r="M61" s="276"/>
      <c r="O61" s="383"/>
      <c r="P61" s="384"/>
      <c r="Q61" s="385"/>
    </row>
    <row r="62" spans="1:27" s="159" customFormat="1" x14ac:dyDescent="0.2">
      <c r="A62" s="372"/>
      <c r="B62" s="5"/>
      <c r="C62" s="373"/>
      <c r="D62" s="374" t="s">
        <v>21</v>
      </c>
      <c r="E62" s="255">
        <v>0</v>
      </c>
      <c r="F62" s="375">
        <f>C62*E62</f>
        <v>0</v>
      </c>
      <c r="G62" s="531"/>
      <c r="H62" s="377">
        <v>0</v>
      </c>
      <c r="I62" s="375">
        <f>G62*H62</f>
        <v>0</v>
      </c>
      <c r="J62" s="378"/>
      <c r="K62" s="532">
        <f>F62+I62+J62</f>
        <v>0</v>
      </c>
      <c r="M62" s="276"/>
      <c r="O62" s="383"/>
      <c r="P62" s="384"/>
      <c r="Q62" s="385"/>
    </row>
    <row r="63" spans="1:27" s="159" customFormat="1" x14ac:dyDescent="0.2">
      <c r="A63" s="372"/>
      <c r="B63" s="5"/>
      <c r="C63" s="373"/>
      <c r="D63" s="374" t="s">
        <v>21</v>
      </c>
      <c r="E63" s="255">
        <v>0</v>
      </c>
      <c r="F63" s="375">
        <f>C63*E63</f>
        <v>0</v>
      </c>
      <c r="G63" s="531"/>
      <c r="H63" s="377">
        <v>0</v>
      </c>
      <c r="I63" s="375">
        <f>G63*H63</f>
        <v>0</v>
      </c>
      <c r="J63" s="378"/>
      <c r="K63" s="532">
        <f>F63+I63+J63</f>
        <v>0</v>
      </c>
      <c r="L63" s="380"/>
      <c r="M63" s="257"/>
      <c r="N63" s="423"/>
      <c r="O63" s="383"/>
      <c r="P63" s="384"/>
      <c r="Q63" s="385"/>
    </row>
    <row r="64" spans="1:27" s="159" customFormat="1" x14ac:dyDescent="0.2">
      <c r="A64" s="372"/>
      <c r="B64" s="5"/>
      <c r="C64" s="373"/>
      <c r="D64" s="374" t="s">
        <v>21</v>
      </c>
      <c r="E64" s="255">
        <v>0</v>
      </c>
      <c r="F64" s="375">
        <f>C64*E64</f>
        <v>0</v>
      </c>
      <c r="G64" s="531"/>
      <c r="H64" s="377">
        <v>0</v>
      </c>
      <c r="I64" s="375">
        <f>G64*H64</f>
        <v>0</v>
      </c>
      <c r="J64" s="378"/>
      <c r="K64" s="532">
        <f>F64+I64+J64</f>
        <v>0</v>
      </c>
      <c r="M64" s="278"/>
      <c r="N64" s="157"/>
      <c r="O64" s="383"/>
      <c r="P64" s="384"/>
      <c r="Q64" s="385"/>
    </row>
    <row r="65" spans="1:17" s="159" customFormat="1" ht="13.5" thickBot="1" x14ac:dyDescent="0.25">
      <c r="A65" s="389"/>
      <c r="B65" s="414"/>
      <c r="C65" s="390"/>
      <c r="D65" s="374"/>
      <c r="E65" s="255"/>
      <c r="F65" s="375"/>
      <c r="G65" s="531"/>
      <c r="H65" s="377"/>
      <c r="I65" s="375"/>
      <c r="J65" s="378"/>
      <c r="K65" s="537"/>
      <c r="M65" s="278"/>
      <c r="N65" s="157"/>
      <c r="O65" s="383"/>
      <c r="P65" s="384"/>
      <c r="Q65" s="385"/>
    </row>
    <row r="66" spans="1:17" s="159" customFormat="1" ht="14.25" thickTop="1" thickBot="1" x14ac:dyDescent="0.25">
      <c r="A66" s="389"/>
      <c r="B66" s="414"/>
      <c r="C66" s="390"/>
      <c r="D66" s="374"/>
      <c r="E66" s="255"/>
      <c r="F66" s="375"/>
      <c r="G66" s="531"/>
      <c r="H66" s="377"/>
      <c r="I66" s="375"/>
      <c r="J66" s="391" t="s">
        <v>30</v>
      </c>
      <c r="K66" s="534">
        <f>SUM(K60:K65)</f>
        <v>0</v>
      </c>
      <c r="M66" s="276"/>
      <c r="O66" s="383"/>
      <c r="P66" s="384"/>
      <c r="Q66" s="385"/>
    </row>
    <row r="67" spans="1:17" s="159" customFormat="1" ht="14.1" customHeight="1" x14ac:dyDescent="0.25">
      <c r="A67" s="480"/>
      <c r="B67" s="481"/>
      <c r="C67" s="482"/>
      <c r="D67" s="482"/>
      <c r="E67" s="483"/>
      <c r="F67" s="978" t="s">
        <v>658</v>
      </c>
      <c r="G67" s="1001" t="s">
        <v>682</v>
      </c>
      <c r="H67" s="483"/>
      <c r="I67" s="971" t="s">
        <v>657</v>
      </c>
      <c r="J67" s="967" t="s">
        <v>683</v>
      </c>
      <c r="K67" s="965" t="s">
        <v>31</v>
      </c>
      <c r="M67" s="278"/>
      <c r="N67" s="157"/>
      <c r="O67" s="304"/>
      <c r="P67" s="304"/>
    </row>
    <row r="68" spans="1:17" s="159" customFormat="1" ht="15" x14ac:dyDescent="0.2">
      <c r="A68" s="484" t="s">
        <v>32</v>
      </c>
      <c r="B68" s="973" t="s">
        <v>671</v>
      </c>
      <c r="C68" s="485"/>
      <c r="D68" s="486"/>
      <c r="E68" s="486"/>
      <c r="F68" s="979"/>
      <c r="G68" s="1002"/>
      <c r="H68" s="487"/>
      <c r="I68" s="972"/>
      <c r="J68" s="968"/>
      <c r="K68" s="966"/>
      <c r="M68" s="278"/>
      <c r="N68" s="157"/>
      <c r="O68" s="304"/>
      <c r="P68" s="304"/>
    </row>
    <row r="69" spans="1:17" s="159" customFormat="1" ht="15" x14ac:dyDescent="0.25">
      <c r="A69" s="828">
        <f>K69/E6</f>
        <v>0</v>
      </c>
      <c r="B69" s="973"/>
      <c r="C69" s="486"/>
      <c r="D69" s="486"/>
      <c r="E69" s="486"/>
      <c r="F69" s="961">
        <f>SUM(F13:F24,F60:F65,F52:F56,F29:F48)</f>
        <v>0</v>
      </c>
      <c r="G69" s="1142">
        <f>SUM(G13:G24,G60:G65,G52:G56,G29:G48)</f>
        <v>0</v>
      </c>
      <c r="H69" s="487"/>
      <c r="I69" s="961">
        <f>SUM(I13:I24,I60:I65,I52:I56,I29:I48)</f>
        <v>0</v>
      </c>
      <c r="J69" s="961">
        <f>SUM(J13:J24,J60:J65,J52:J56,J29:J48)</f>
        <v>0</v>
      </c>
      <c r="K69" s="963">
        <f>SUM(K66,K57,K49,K26)</f>
        <v>0</v>
      </c>
      <c r="M69" s="278"/>
      <c r="N69" s="157"/>
      <c r="O69" s="304"/>
      <c r="P69" s="304"/>
    </row>
    <row r="70" spans="1:17" s="159" customFormat="1" ht="15" thickBot="1" x14ac:dyDescent="0.25">
      <c r="A70" s="484"/>
      <c r="B70" s="552"/>
      <c r="C70" s="490"/>
      <c r="D70" s="490"/>
      <c r="E70" s="490"/>
      <c r="F70" s="962"/>
      <c r="G70" s="1007"/>
      <c r="H70" s="490"/>
      <c r="I70" s="962"/>
      <c r="J70" s="962"/>
      <c r="K70" s="964"/>
      <c r="M70" s="278"/>
      <c r="N70" s="157"/>
      <c r="O70" s="304"/>
      <c r="P70" s="304"/>
    </row>
    <row r="71" spans="1:17" s="159" customFormat="1" ht="13.5" thickBot="1" x14ac:dyDescent="0.25">
      <c r="A71" s="491"/>
      <c r="B71" s="492"/>
      <c r="C71" s="492"/>
      <c r="D71" s="492"/>
      <c r="E71" s="492"/>
      <c r="F71" s="492"/>
      <c r="G71" s="492"/>
      <c r="H71" s="492"/>
      <c r="I71" s="492"/>
      <c r="J71" s="492"/>
      <c r="K71" s="493"/>
      <c r="M71" s="278"/>
      <c r="N71" s="157"/>
      <c r="O71" s="304"/>
      <c r="P71" s="304"/>
    </row>
    <row r="72" spans="1:17" s="159" customFormat="1" x14ac:dyDescent="0.2">
      <c r="C72" s="657"/>
      <c r="D72" s="657"/>
      <c r="J72" s="276"/>
      <c r="M72" s="278"/>
      <c r="N72" s="157"/>
      <c r="O72" s="304"/>
      <c r="P72" s="304"/>
    </row>
    <row r="73" spans="1:17" s="159" customFormat="1" x14ac:dyDescent="0.2">
      <c r="C73" s="657"/>
      <c r="D73" s="657"/>
      <c r="J73" s="276"/>
      <c r="M73" s="278"/>
      <c r="N73" s="157"/>
      <c r="O73" s="304"/>
      <c r="P73" s="304"/>
    </row>
    <row r="74" spans="1:17" s="159" customFormat="1" x14ac:dyDescent="0.2">
      <c r="C74" s="657"/>
      <c r="D74" s="657"/>
      <c r="J74" s="276"/>
      <c r="M74" s="278"/>
      <c r="N74" s="157"/>
      <c r="O74" s="304"/>
      <c r="P74" s="304"/>
    </row>
    <row r="75" spans="1:17" s="159" customFormat="1" x14ac:dyDescent="0.2">
      <c r="C75" s="657"/>
      <c r="D75" s="657"/>
      <c r="J75" s="276"/>
      <c r="M75" s="278"/>
      <c r="N75" s="157"/>
      <c r="O75" s="304"/>
      <c r="P75" s="304"/>
    </row>
    <row r="76" spans="1:17" s="159" customFormat="1" x14ac:dyDescent="0.2">
      <c r="C76" s="657"/>
      <c r="D76" s="657"/>
      <c r="J76" s="276"/>
      <c r="M76" s="278"/>
      <c r="N76" s="157"/>
      <c r="O76" s="304"/>
      <c r="P76" s="304"/>
    </row>
    <row r="77" spans="1:17" s="159" customFormat="1" x14ac:dyDescent="0.2">
      <c r="C77" s="657"/>
      <c r="D77" s="657"/>
      <c r="J77" s="276"/>
      <c r="M77" s="278"/>
      <c r="N77" s="157"/>
      <c r="O77" s="304"/>
      <c r="P77" s="304"/>
    </row>
    <row r="78" spans="1:17" s="159" customFormat="1" x14ac:dyDescent="0.2">
      <c r="C78" s="657"/>
      <c r="D78" s="657"/>
      <c r="J78" s="276"/>
      <c r="M78" s="278"/>
      <c r="N78" s="157"/>
      <c r="O78" s="304"/>
      <c r="P78" s="304"/>
    </row>
    <row r="79" spans="1:17" s="159" customFormat="1" x14ac:dyDescent="0.2">
      <c r="C79" s="657"/>
      <c r="D79" s="657"/>
      <c r="J79" s="276"/>
      <c r="M79" s="278"/>
      <c r="N79" s="157"/>
      <c r="O79" s="304"/>
      <c r="P79" s="304"/>
    </row>
    <row r="80" spans="1:17" s="159" customFormat="1" x14ac:dyDescent="0.2">
      <c r="C80" s="657"/>
      <c r="D80" s="657"/>
      <c r="J80" s="276"/>
      <c r="M80" s="278"/>
      <c r="N80" s="157"/>
      <c r="O80" s="304"/>
      <c r="P80" s="304"/>
    </row>
    <row r="81" spans="3:16" s="159" customFormat="1" x14ac:dyDescent="0.2">
      <c r="C81" s="657"/>
      <c r="D81" s="657"/>
      <c r="J81" s="276"/>
      <c r="M81" s="278"/>
      <c r="N81" s="157"/>
      <c r="O81" s="304"/>
      <c r="P81" s="304"/>
    </row>
    <row r="82" spans="3:16" s="159" customFormat="1" x14ac:dyDescent="0.2">
      <c r="C82" s="657"/>
      <c r="D82" s="657"/>
      <c r="J82" s="276"/>
      <c r="M82" s="278"/>
      <c r="N82" s="157"/>
      <c r="O82" s="304"/>
      <c r="P82" s="304"/>
    </row>
    <row r="83" spans="3:16" s="159" customFormat="1" x14ac:dyDescent="0.2">
      <c r="C83" s="657"/>
      <c r="D83" s="657"/>
      <c r="J83" s="276"/>
      <c r="M83" s="278"/>
      <c r="N83" s="157"/>
      <c r="O83" s="304"/>
      <c r="P83" s="304"/>
    </row>
    <row r="84" spans="3:16" s="159" customFormat="1" x14ac:dyDescent="0.2">
      <c r="C84" s="657"/>
      <c r="D84" s="657"/>
      <c r="J84" s="276"/>
      <c r="M84" s="278"/>
      <c r="N84" s="157"/>
      <c r="O84" s="304"/>
      <c r="P84" s="304"/>
    </row>
    <row r="85" spans="3:16" s="159" customFormat="1" x14ac:dyDescent="0.2">
      <c r="C85" s="657"/>
      <c r="D85" s="657"/>
      <c r="J85" s="276"/>
      <c r="M85" s="278"/>
      <c r="N85" s="157"/>
      <c r="O85" s="304"/>
      <c r="P85" s="304"/>
    </row>
    <row r="86" spans="3:16" s="159" customFormat="1" x14ac:dyDescent="0.2">
      <c r="C86" s="657"/>
      <c r="D86" s="657"/>
      <c r="J86" s="276"/>
      <c r="M86" s="278"/>
      <c r="N86" s="157"/>
      <c r="O86" s="304"/>
      <c r="P86" s="304"/>
    </row>
    <row r="87" spans="3:16" s="159" customFormat="1" x14ac:dyDescent="0.2">
      <c r="C87" s="657"/>
      <c r="D87" s="657"/>
      <c r="J87" s="276"/>
      <c r="M87" s="278"/>
      <c r="N87" s="157"/>
      <c r="O87" s="304"/>
      <c r="P87" s="304"/>
    </row>
    <row r="88" spans="3:16" s="159" customFormat="1" x14ac:dyDescent="0.2">
      <c r="C88" s="657"/>
      <c r="D88" s="657"/>
      <c r="J88" s="276"/>
      <c r="M88" s="278"/>
      <c r="N88" s="157"/>
      <c r="O88" s="304"/>
      <c r="P88" s="304"/>
    </row>
    <row r="89" spans="3:16" s="159" customFormat="1" x14ac:dyDescent="0.2">
      <c r="C89" s="657"/>
      <c r="D89" s="657"/>
      <c r="J89" s="276"/>
      <c r="M89" s="278"/>
      <c r="N89" s="157"/>
      <c r="O89" s="304"/>
      <c r="P89" s="304"/>
    </row>
    <row r="90" spans="3:16" s="159" customFormat="1" x14ac:dyDescent="0.2">
      <c r="C90" s="657"/>
      <c r="D90" s="657"/>
      <c r="J90" s="276"/>
      <c r="M90" s="278"/>
      <c r="N90" s="157"/>
      <c r="O90" s="304"/>
      <c r="P90" s="304"/>
    </row>
    <row r="91" spans="3:16" s="159" customFormat="1" x14ac:dyDescent="0.2">
      <c r="C91" s="657"/>
      <c r="D91" s="657"/>
      <c r="J91" s="276"/>
      <c r="M91" s="278"/>
      <c r="N91" s="157"/>
      <c r="O91" s="304"/>
      <c r="P91" s="304"/>
    </row>
    <row r="92" spans="3:16" s="159" customFormat="1" x14ac:dyDescent="0.2">
      <c r="C92" s="657"/>
      <c r="D92" s="657"/>
      <c r="J92" s="276"/>
      <c r="M92" s="278"/>
      <c r="N92" s="157"/>
      <c r="O92" s="304"/>
      <c r="P92" s="304"/>
    </row>
    <row r="93" spans="3:16" s="159" customFormat="1" x14ac:dyDescent="0.2">
      <c r="C93" s="657"/>
      <c r="D93" s="657"/>
      <c r="J93" s="276"/>
      <c r="M93" s="278"/>
      <c r="N93" s="157"/>
      <c r="O93" s="304"/>
      <c r="P93" s="304"/>
    </row>
    <row r="94" spans="3:16" s="159" customFormat="1" x14ac:dyDescent="0.2">
      <c r="C94" s="657"/>
      <c r="D94" s="657"/>
      <c r="J94" s="276"/>
      <c r="M94" s="278"/>
      <c r="N94" s="157"/>
      <c r="O94" s="304"/>
      <c r="P94" s="304"/>
    </row>
    <row r="95" spans="3:16" s="159" customFormat="1" x14ac:dyDescent="0.2">
      <c r="C95" s="657"/>
      <c r="D95" s="657"/>
      <c r="J95" s="276"/>
      <c r="M95" s="278"/>
      <c r="N95" s="157"/>
      <c r="O95" s="304"/>
      <c r="P95" s="304"/>
    </row>
    <row r="96" spans="3:16" s="159" customFormat="1" x14ac:dyDescent="0.2">
      <c r="C96" s="657"/>
      <c r="D96" s="657"/>
      <c r="J96" s="276"/>
      <c r="M96" s="278"/>
      <c r="N96" s="157"/>
      <c r="O96" s="304"/>
      <c r="P96" s="304"/>
    </row>
    <row r="97" spans="3:16" s="159" customFormat="1" x14ac:dyDescent="0.2">
      <c r="C97" s="657"/>
      <c r="D97" s="657"/>
      <c r="J97" s="276"/>
      <c r="M97" s="278"/>
      <c r="N97" s="157"/>
      <c r="O97" s="304"/>
      <c r="P97" s="304"/>
    </row>
    <row r="98" spans="3:16" s="159" customFormat="1" x14ac:dyDescent="0.2">
      <c r="C98" s="657"/>
      <c r="D98" s="657"/>
      <c r="J98" s="276"/>
      <c r="M98" s="278"/>
      <c r="N98" s="157"/>
      <c r="O98" s="304"/>
      <c r="P98" s="304"/>
    </row>
    <row r="99" spans="3:16" s="159" customFormat="1" x14ac:dyDescent="0.2">
      <c r="C99" s="657"/>
      <c r="D99" s="657"/>
      <c r="J99" s="276"/>
      <c r="M99" s="278"/>
      <c r="N99" s="157"/>
      <c r="O99" s="304"/>
      <c r="P99" s="304"/>
    </row>
    <row r="100" spans="3:16" s="159" customFormat="1" x14ac:dyDescent="0.2">
      <c r="C100" s="657"/>
      <c r="D100" s="657"/>
      <c r="J100" s="276"/>
      <c r="M100" s="278"/>
      <c r="N100" s="157"/>
      <c r="O100" s="304"/>
      <c r="P100" s="304"/>
    </row>
    <row r="101" spans="3:16" s="159" customFormat="1" x14ac:dyDescent="0.2">
      <c r="C101" s="657"/>
      <c r="D101" s="657"/>
      <c r="J101" s="276"/>
      <c r="M101" s="278"/>
      <c r="N101" s="157"/>
      <c r="O101" s="304"/>
      <c r="P101" s="304"/>
    </row>
    <row r="102" spans="3:16" s="159" customFormat="1" x14ac:dyDescent="0.2">
      <c r="C102" s="657"/>
      <c r="D102" s="657"/>
      <c r="J102" s="276"/>
      <c r="M102" s="278"/>
      <c r="N102" s="157"/>
      <c r="O102" s="304"/>
      <c r="P102" s="304"/>
    </row>
    <row r="103" spans="3:16" s="159" customFormat="1" x14ac:dyDescent="0.2">
      <c r="C103" s="657"/>
      <c r="D103" s="657"/>
      <c r="J103" s="276"/>
      <c r="M103" s="278"/>
      <c r="N103" s="157"/>
      <c r="O103" s="304"/>
      <c r="P103" s="304"/>
    </row>
    <row r="104" spans="3:16" s="159" customFormat="1" x14ac:dyDescent="0.2">
      <c r="C104" s="657"/>
      <c r="D104" s="657"/>
      <c r="J104" s="276"/>
      <c r="M104" s="278"/>
      <c r="N104" s="157"/>
      <c r="O104" s="304"/>
      <c r="P104" s="304"/>
    </row>
    <row r="105" spans="3:16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3:16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3:16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3:16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3:16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3:16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3:16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3:16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  <row r="235" spans="3:16" s="159" customFormat="1" x14ac:dyDescent="0.2">
      <c r="C235" s="657"/>
      <c r="D235" s="657"/>
      <c r="J235" s="276"/>
      <c r="M235" s="278"/>
      <c r="N235" s="157"/>
      <c r="O235" s="304"/>
      <c r="P235" s="304"/>
    </row>
    <row r="236" spans="3:16" s="159" customFormat="1" x14ac:dyDescent="0.2">
      <c r="C236" s="657"/>
      <c r="D236" s="657"/>
      <c r="J236" s="276"/>
      <c r="M236" s="278"/>
      <c r="N236" s="157"/>
      <c r="O236" s="304"/>
      <c r="P236" s="304"/>
    </row>
    <row r="237" spans="3:16" s="159" customFormat="1" x14ac:dyDescent="0.2">
      <c r="C237" s="657"/>
      <c r="D237" s="657"/>
      <c r="J237" s="276"/>
      <c r="M237" s="278"/>
      <c r="N237" s="157"/>
      <c r="O237" s="304"/>
      <c r="P237" s="304"/>
    </row>
    <row r="238" spans="3:16" s="159" customFormat="1" x14ac:dyDescent="0.2">
      <c r="C238" s="657"/>
      <c r="D238" s="657"/>
      <c r="J238" s="276"/>
      <c r="M238" s="278"/>
      <c r="N238" s="157"/>
      <c r="O238" s="304"/>
      <c r="P238" s="304"/>
    </row>
    <row r="239" spans="3:16" s="159" customFormat="1" x14ac:dyDescent="0.2">
      <c r="C239" s="657"/>
      <c r="D239" s="657"/>
      <c r="J239" s="276"/>
      <c r="M239" s="278"/>
      <c r="N239" s="157"/>
      <c r="O239" s="304"/>
      <c r="P239" s="304"/>
    </row>
    <row r="240" spans="3:16" s="159" customFormat="1" x14ac:dyDescent="0.2">
      <c r="C240" s="657"/>
      <c r="D240" s="657"/>
      <c r="J240" s="276"/>
      <c r="M240" s="278"/>
      <c r="N240" s="157"/>
      <c r="O240" s="304"/>
      <c r="P240" s="304"/>
    </row>
    <row r="241" spans="3:16" s="159" customFormat="1" x14ac:dyDescent="0.2">
      <c r="C241" s="657"/>
      <c r="D241" s="657"/>
      <c r="J241" s="276"/>
      <c r="M241" s="278"/>
      <c r="N241" s="157"/>
      <c r="O241" s="304"/>
      <c r="P241" s="304"/>
    </row>
    <row r="242" spans="3:16" s="159" customFormat="1" x14ac:dyDescent="0.2">
      <c r="C242" s="657"/>
      <c r="D242" s="657"/>
      <c r="J242" s="276"/>
      <c r="M242" s="278"/>
      <c r="N242" s="157"/>
      <c r="O242" s="304"/>
      <c r="P242" s="304"/>
    </row>
    <row r="243" spans="3:16" s="159" customFormat="1" x14ac:dyDescent="0.2">
      <c r="C243" s="657"/>
      <c r="D243" s="657"/>
      <c r="J243" s="276"/>
      <c r="M243" s="278"/>
      <c r="N243" s="157"/>
      <c r="O243" s="304"/>
      <c r="P243" s="304"/>
    </row>
    <row r="244" spans="3:16" s="159" customFormat="1" x14ac:dyDescent="0.2">
      <c r="C244" s="657"/>
      <c r="D244" s="657"/>
      <c r="J244" s="276"/>
      <c r="M244" s="278"/>
      <c r="N244" s="157"/>
      <c r="O244" s="304"/>
      <c r="P244" s="304"/>
    </row>
    <row r="245" spans="3:16" s="159" customFormat="1" x14ac:dyDescent="0.2">
      <c r="C245" s="657"/>
      <c r="D245" s="657"/>
      <c r="J245" s="276"/>
      <c r="M245" s="278"/>
      <c r="N245" s="157"/>
      <c r="O245" s="304"/>
      <c r="P245" s="304"/>
    </row>
    <row r="246" spans="3:16" s="159" customFormat="1" x14ac:dyDescent="0.2">
      <c r="C246" s="657"/>
      <c r="D246" s="657"/>
      <c r="J246" s="276"/>
      <c r="M246" s="278"/>
      <c r="N246" s="157"/>
      <c r="O246" s="304"/>
      <c r="P246" s="304"/>
    </row>
    <row r="247" spans="3:16" s="159" customFormat="1" x14ac:dyDescent="0.2">
      <c r="C247" s="657"/>
      <c r="D247" s="657"/>
      <c r="J247" s="276"/>
      <c r="M247" s="278"/>
      <c r="N247" s="157"/>
      <c r="O247" s="304"/>
      <c r="P247" s="304"/>
    </row>
    <row r="248" spans="3:16" s="159" customFormat="1" x14ac:dyDescent="0.2">
      <c r="C248" s="657"/>
      <c r="D248" s="657"/>
      <c r="J248" s="276"/>
      <c r="M248" s="278"/>
      <c r="N248" s="157"/>
      <c r="O248" s="304"/>
      <c r="P248" s="304"/>
    </row>
    <row r="249" spans="3:16" s="159" customFormat="1" x14ac:dyDescent="0.2">
      <c r="C249" s="657"/>
      <c r="D249" s="657"/>
      <c r="J249" s="276"/>
      <c r="M249" s="278"/>
      <c r="N249" s="157"/>
      <c r="O249" s="304"/>
      <c r="P249" s="304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68:B69"/>
    <mergeCell ref="C58:F58"/>
    <mergeCell ref="G58:I58"/>
    <mergeCell ref="C11:F11"/>
    <mergeCell ref="G11:I11"/>
    <mergeCell ref="C27:F27"/>
    <mergeCell ref="G27:I27"/>
    <mergeCell ref="C50:F50"/>
    <mergeCell ref="G50:I50"/>
    <mergeCell ref="K69:K70"/>
    <mergeCell ref="F67:F68"/>
    <mergeCell ref="G67:G68"/>
    <mergeCell ref="I67:I68"/>
    <mergeCell ref="J67:J68"/>
    <mergeCell ref="K67:K68"/>
    <mergeCell ref="F69:F70"/>
    <mergeCell ref="G69:G70"/>
    <mergeCell ref="I69:I70"/>
    <mergeCell ref="J69:J70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T277"/>
  <sheetViews>
    <sheetView topLeftCell="A57" zoomScale="90" zoomScaleNormal="75" zoomScaleSheetLayoutView="90" zoomScalePageLayoutView="75" workbookViewId="0">
      <selection activeCell="A97" sqref="A97"/>
    </sheetView>
  </sheetViews>
  <sheetFormatPr defaultColWidth="9.140625" defaultRowHeight="12.75" x14ac:dyDescent="0.2"/>
  <cols>
    <col min="1" max="1" width="12.85546875" style="157" bestFit="1" customWidth="1"/>
    <col min="2" max="2" width="52.5703125" style="157" bestFit="1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562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ht="13.5" thickBot="1" x14ac:dyDescent="0.25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ht="14.25" thickTop="1" thickBot="1" x14ac:dyDescent="0.25">
      <c r="A9" s="355" t="s">
        <v>0</v>
      </c>
      <c r="B9" s="356" t="s">
        <v>1</v>
      </c>
      <c r="C9" s="948" t="s">
        <v>656</v>
      </c>
      <c r="D9" s="948"/>
      <c r="E9" s="948"/>
      <c r="F9" s="948"/>
      <c r="G9" s="948" t="s">
        <v>34</v>
      </c>
      <c r="H9" s="948"/>
      <c r="I9" s="948"/>
      <c r="J9" s="357"/>
      <c r="K9" s="525"/>
      <c r="L9" s="951" t="s">
        <v>780</v>
      </c>
      <c r="M9" s="953" t="s">
        <v>781</v>
      </c>
      <c r="N9" s="955" t="s">
        <v>782</v>
      </c>
      <c r="O9" s="957"/>
      <c r="P9" s="959"/>
      <c r="Q9" s="949"/>
    </row>
    <row r="10" spans="1:17" ht="15.75" x14ac:dyDescent="0.25">
      <c r="A10" s="527" t="s">
        <v>563</v>
      </c>
      <c r="B10" s="527" t="s">
        <v>564</v>
      </c>
      <c r="C10" s="361" t="s">
        <v>19</v>
      </c>
      <c r="D10" s="362" t="s">
        <v>33</v>
      </c>
      <c r="E10" s="363" t="s">
        <v>35</v>
      </c>
      <c r="F10" s="364" t="s">
        <v>30</v>
      </c>
      <c r="G10" s="528" t="s">
        <v>14</v>
      </c>
      <c r="H10" s="363" t="s">
        <v>35</v>
      </c>
      <c r="I10" s="364" t="s">
        <v>30</v>
      </c>
      <c r="J10" s="366" t="s">
        <v>659</v>
      </c>
      <c r="K10" s="529" t="s">
        <v>38</v>
      </c>
      <c r="L10" s="952"/>
      <c r="M10" s="954"/>
      <c r="N10" s="956"/>
      <c r="O10" s="958"/>
      <c r="P10" s="960"/>
      <c r="Q10" s="950"/>
    </row>
    <row r="11" spans="1:17" ht="15" x14ac:dyDescent="0.2">
      <c r="A11" s="194" t="s">
        <v>566</v>
      </c>
      <c r="B11" s="194" t="s">
        <v>565</v>
      </c>
      <c r="C11" s="373"/>
      <c r="D11" s="374" t="s">
        <v>21</v>
      </c>
      <c r="E11" s="255">
        <v>0</v>
      </c>
      <c r="F11" s="375">
        <f t="shared" ref="F11:F19" si="0">C11*E11</f>
        <v>0</v>
      </c>
      <c r="G11" s="531"/>
      <c r="H11" s="377">
        <v>0</v>
      </c>
      <c r="I11" s="375">
        <f t="shared" ref="I11:I19" si="1">G11*H11</f>
        <v>0</v>
      </c>
      <c r="J11" s="378"/>
      <c r="K11" s="532">
        <f t="shared" ref="K11:K19" si="2">F11+I11+J11</f>
        <v>0</v>
      </c>
      <c r="L11" s="380"/>
      <c r="M11" s="381"/>
      <c r="N11" s="382"/>
      <c r="O11" s="383"/>
      <c r="P11" s="384"/>
      <c r="Q11" s="385"/>
    </row>
    <row r="12" spans="1:17" ht="15" x14ac:dyDescent="0.2">
      <c r="A12" s="194" t="s">
        <v>567</v>
      </c>
      <c r="B12" s="194" t="s">
        <v>568</v>
      </c>
      <c r="C12" s="373"/>
      <c r="D12" s="374" t="s">
        <v>21</v>
      </c>
      <c r="E12" s="255">
        <v>0</v>
      </c>
      <c r="F12" s="375">
        <f t="shared" si="0"/>
        <v>0</v>
      </c>
      <c r="G12" s="531"/>
      <c r="H12" s="377">
        <v>0</v>
      </c>
      <c r="I12" s="375">
        <f t="shared" si="1"/>
        <v>0</v>
      </c>
      <c r="J12" s="378"/>
      <c r="K12" s="532">
        <f t="shared" si="2"/>
        <v>0</v>
      </c>
      <c r="L12" s="380"/>
      <c r="M12" s="381"/>
      <c r="N12" s="382"/>
      <c r="O12" s="383"/>
      <c r="P12" s="384"/>
      <c r="Q12" s="385"/>
    </row>
    <row r="13" spans="1:17" ht="15" x14ac:dyDescent="0.2">
      <c r="A13" s="194" t="s">
        <v>570</v>
      </c>
      <c r="B13" s="194" t="s">
        <v>569</v>
      </c>
      <c r="C13" s="373"/>
      <c r="D13" s="374" t="s">
        <v>21</v>
      </c>
      <c r="E13" s="255">
        <v>0</v>
      </c>
      <c r="F13" s="375">
        <f t="shared" si="0"/>
        <v>0</v>
      </c>
      <c r="G13" s="531"/>
      <c r="H13" s="377">
        <v>0</v>
      </c>
      <c r="I13" s="375">
        <f t="shared" si="1"/>
        <v>0</v>
      </c>
      <c r="J13" s="378"/>
      <c r="K13" s="532">
        <f t="shared" si="2"/>
        <v>0</v>
      </c>
      <c r="L13" s="380"/>
      <c r="M13" s="381"/>
      <c r="N13" s="382"/>
      <c r="O13" s="383"/>
      <c r="P13" s="384"/>
      <c r="Q13" s="385"/>
    </row>
    <row r="14" spans="1:17" x14ac:dyDescent="0.2"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157"/>
      <c r="M17" s="471"/>
      <c r="O17" s="383"/>
      <c r="P17" s="384"/>
      <c r="Q17" s="385"/>
    </row>
    <row r="18" spans="1:17" x14ac:dyDescent="0.2"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157"/>
      <c r="M18" s="471"/>
      <c r="O18" s="383"/>
      <c r="P18" s="384"/>
      <c r="Q18" s="385"/>
    </row>
    <row r="19" spans="1:17" x14ac:dyDescent="0.2"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538"/>
      <c r="M19" s="576"/>
      <c r="N19" s="539"/>
      <c r="O19" s="383"/>
      <c r="P19" s="384"/>
      <c r="Q19" s="385"/>
    </row>
    <row r="20" spans="1:17" ht="13.5" thickBot="1" x14ac:dyDescent="0.25">
      <c r="A20" s="389"/>
      <c r="B20" s="7"/>
      <c r="C20" s="390"/>
      <c r="D20" s="374"/>
      <c r="E20" s="255"/>
      <c r="F20" s="375"/>
      <c r="G20" s="531"/>
      <c r="H20" s="377"/>
      <c r="I20" s="375"/>
      <c r="J20" s="378"/>
      <c r="K20" s="532"/>
      <c r="L20" s="540"/>
      <c r="M20" s="466"/>
      <c r="N20" s="541"/>
      <c r="O20" s="383"/>
      <c r="P20" s="384"/>
      <c r="Q20" s="385"/>
    </row>
    <row r="21" spans="1:17" ht="13.5" thickTop="1" x14ac:dyDescent="0.2">
      <c r="A21" s="389"/>
      <c r="B21" s="7"/>
      <c r="C21" s="390"/>
      <c r="D21" s="374"/>
      <c r="E21" s="255"/>
      <c r="F21" s="375"/>
      <c r="G21" s="531"/>
      <c r="H21" s="377"/>
      <c r="I21" s="375"/>
      <c r="J21" s="391" t="s">
        <v>30</v>
      </c>
      <c r="K21" s="534">
        <f>SUM(K11:K20)</f>
        <v>0</v>
      </c>
      <c r="L21" s="157"/>
      <c r="M21" s="471"/>
      <c r="O21" s="383"/>
      <c r="P21" s="384"/>
      <c r="Q21" s="385"/>
    </row>
    <row r="22" spans="1:17" ht="13.5" thickBot="1" x14ac:dyDescent="0.25">
      <c r="A22" s="355" t="s">
        <v>0</v>
      </c>
      <c r="B22" s="356" t="s">
        <v>1</v>
      </c>
      <c r="C22" s="948" t="s">
        <v>656</v>
      </c>
      <c r="D22" s="948"/>
      <c r="E22" s="948"/>
      <c r="F22" s="948"/>
      <c r="G22" s="948" t="s">
        <v>34</v>
      </c>
      <c r="H22" s="948"/>
      <c r="I22" s="948"/>
      <c r="J22" s="357"/>
      <c r="K22" s="525"/>
      <c r="L22" s="157"/>
      <c r="M22" s="471"/>
      <c r="O22" s="383"/>
      <c r="P22" s="384"/>
      <c r="Q22" s="385"/>
    </row>
    <row r="23" spans="1:17" ht="16.5" thickBot="1" x14ac:dyDescent="0.3">
      <c r="A23" s="526" t="s">
        <v>571</v>
      </c>
      <c r="B23" s="526" t="s">
        <v>572</v>
      </c>
      <c r="C23" s="398" t="s">
        <v>19</v>
      </c>
      <c r="D23" s="399" t="s">
        <v>33</v>
      </c>
      <c r="E23" s="400" t="s">
        <v>35</v>
      </c>
      <c r="F23" s="401" t="s">
        <v>30</v>
      </c>
      <c r="G23" s="535" t="s">
        <v>14</v>
      </c>
      <c r="H23" s="400" t="s">
        <v>35</v>
      </c>
      <c r="I23" s="401" t="s">
        <v>30</v>
      </c>
      <c r="J23" s="366" t="s">
        <v>659</v>
      </c>
      <c r="K23" s="536" t="s">
        <v>38</v>
      </c>
      <c r="L23" s="393"/>
      <c r="M23" s="394"/>
      <c r="N23" s="395"/>
      <c r="O23" s="383"/>
      <c r="P23" s="384"/>
      <c r="Q23" s="385"/>
    </row>
    <row r="24" spans="1:17" s="159" customFormat="1" x14ac:dyDescent="0.2">
      <c r="A24" s="158" t="s">
        <v>573</v>
      </c>
      <c r="B24" s="159" t="s">
        <v>587</v>
      </c>
      <c r="C24" s="373"/>
      <c r="D24" s="374" t="s">
        <v>21</v>
      </c>
      <c r="E24" s="255">
        <v>0</v>
      </c>
      <c r="F24" s="375">
        <f t="shared" ref="F24:F30" si="3">C24*E24</f>
        <v>0</v>
      </c>
      <c r="G24" s="531"/>
      <c r="H24" s="377">
        <v>0</v>
      </c>
      <c r="I24" s="375">
        <f t="shared" ref="I24:I30" si="4">G24*H24</f>
        <v>0</v>
      </c>
      <c r="J24" s="378"/>
      <c r="K24" s="532">
        <f t="shared" ref="K24:K30" si="5">F24+I24+J24</f>
        <v>0</v>
      </c>
      <c r="L24" s="404"/>
      <c r="M24" s="405"/>
      <c r="N24" s="406"/>
      <c r="O24" s="383"/>
      <c r="P24" s="384"/>
      <c r="Q24" s="385"/>
    </row>
    <row r="25" spans="1:17" s="159" customFormat="1" x14ac:dyDescent="0.2">
      <c r="A25" s="677" t="s">
        <v>574</v>
      </c>
      <c r="B25" s="677" t="s">
        <v>586</v>
      </c>
      <c r="C25" s="373"/>
      <c r="D25" s="374" t="s">
        <v>21</v>
      </c>
      <c r="E25" s="255">
        <v>0</v>
      </c>
      <c r="F25" s="375">
        <f t="shared" si="3"/>
        <v>0</v>
      </c>
      <c r="G25" s="531"/>
      <c r="H25" s="377">
        <v>0</v>
      </c>
      <c r="I25" s="375">
        <f t="shared" si="4"/>
        <v>0</v>
      </c>
      <c r="J25" s="378"/>
      <c r="K25" s="532">
        <f t="shared" si="5"/>
        <v>0</v>
      </c>
      <c r="M25" s="276"/>
      <c r="O25" s="383"/>
      <c r="P25" s="384"/>
      <c r="Q25" s="385"/>
    </row>
    <row r="26" spans="1:17" s="159" customFormat="1" x14ac:dyDescent="0.2">
      <c r="A26" s="677" t="s">
        <v>575</v>
      </c>
      <c r="B26" s="677" t="s">
        <v>585</v>
      </c>
      <c r="C26" s="373"/>
      <c r="D26" s="374" t="s">
        <v>21</v>
      </c>
      <c r="E26" s="255">
        <v>0</v>
      </c>
      <c r="F26" s="375">
        <f t="shared" si="3"/>
        <v>0</v>
      </c>
      <c r="G26" s="531"/>
      <c r="H26" s="377">
        <v>0</v>
      </c>
      <c r="I26" s="375">
        <f t="shared" si="4"/>
        <v>0</v>
      </c>
      <c r="J26" s="378"/>
      <c r="K26" s="532">
        <f t="shared" si="5"/>
        <v>0</v>
      </c>
      <c r="M26" s="276"/>
      <c r="O26" s="383"/>
      <c r="P26" s="384"/>
      <c r="Q26" s="385"/>
    </row>
    <row r="27" spans="1:17" s="159" customFormat="1" x14ac:dyDescent="0.2">
      <c r="A27" s="677" t="s">
        <v>576</v>
      </c>
      <c r="B27" s="677" t="s">
        <v>584</v>
      </c>
      <c r="C27" s="373"/>
      <c r="D27" s="374" t="s">
        <v>21</v>
      </c>
      <c r="E27" s="255">
        <v>0</v>
      </c>
      <c r="F27" s="375">
        <f t="shared" si="3"/>
        <v>0</v>
      </c>
      <c r="G27" s="531"/>
      <c r="H27" s="377">
        <v>0</v>
      </c>
      <c r="I27" s="375">
        <f t="shared" si="4"/>
        <v>0</v>
      </c>
      <c r="J27" s="378"/>
      <c r="K27" s="532">
        <f t="shared" si="5"/>
        <v>0</v>
      </c>
      <c r="M27" s="276"/>
      <c r="O27" s="383"/>
      <c r="P27" s="384"/>
      <c r="Q27" s="385"/>
    </row>
    <row r="28" spans="1:17" s="159" customFormat="1" x14ac:dyDescent="0.2">
      <c r="A28" s="677" t="s">
        <v>577</v>
      </c>
      <c r="B28" s="677" t="s">
        <v>583</v>
      </c>
      <c r="C28" s="373"/>
      <c r="D28" s="374" t="s">
        <v>21</v>
      </c>
      <c r="E28" s="255">
        <v>0</v>
      </c>
      <c r="F28" s="375">
        <f t="shared" si="3"/>
        <v>0</v>
      </c>
      <c r="G28" s="531"/>
      <c r="H28" s="377">
        <v>0</v>
      </c>
      <c r="I28" s="375">
        <f t="shared" si="4"/>
        <v>0</v>
      </c>
      <c r="J28" s="378"/>
      <c r="K28" s="532">
        <f t="shared" si="5"/>
        <v>0</v>
      </c>
      <c r="M28" s="278"/>
      <c r="N28" s="157"/>
      <c r="O28" s="383"/>
      <c r="P28" s="384"/>
      <c r="Q28" s="385"/>
    </row>
    <row r="29" spans="1:17" s="159" customFormat="1" x14ac:dyDescent="0.2">
      <c r="A29" s="677" t="s">
        <v>578</v>
      </c>
      <c r="B29" s="677" t="s">
        <v>582</v>
      </c>
      <c r="C29" s="373"/>
      <c r="D29" s="374" t="s">
        <v>21</v>
      </c>
      <c r="E29" s="255">
        <v>0</v>
      </c>
      <c r="F29" s="375">
        <f t="shared" si="3"/>
        <v>0</v>
      </c>
      <c r="G29" s="531"/>
      <c r="H29" s="377">
        <v>0</v>
      </c>
      <c r="I29" s="375">
        <f t="shared" si="4"/>
        <v>0</v>
      </c>
      <c r="J29" s="378"/>
      <c r="K29" s="532">
        <f t="shared" si="5"/>
        <v>0</v>
      </c>
      <c r="L29" s="380"/>
      <c r="M29" s="381"/>
      <c r="N29" s="382"/>
      <c r="O29" s="383"/>
      <c r="P29" s="384"/>
      <c r="Q29" s="385"/>
    </row>
    <row r="30" spans="1:17" s="159" customFormat="1" x14ac:dyDescent="0.2">
      <c r="A30" s="158" t="s">
        <v>579</v>
      </c>
      <c r="B30" s="159" t="s">
        <v>54</v>
      </c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L30" s="380"/>
      <c r="M30" s="381"/>
      <c r="N30" s="382"/>
      <c r="O30" s="383"/>
      <c r="P30" s="384"/>
      <c r="Q30" s="385"/>
    </row>
    <row r="31" spans="1:17" s="159" customFormat="1" x14ac:dyDescent="0.2">
      <c r="A31" s="158" t="s">
        <v>580</v>
      </c>
      <c r="B31" s="159" t="s">
        <v>581</v>
      </c>
      <c r="C31" s="373"/>
      <c r="D31" s="374" t="s">
        <v>21</v>
      </c>
      <c r="E31" s="255">
        <v>0</v>
      </c>
      <c r="F31" s="375">
        <f>C31*E31</f>
        <v>0</v>
      </c>
      <c r="G31" s="531"/>
      <c r="H31" s="377">
        <v>0</v>
      </c>
      <c r="I31" s="375">
        <f>G31*H31</f>
        <v>0</v>
      </c>
      <c r="J31" s="378"/>
      <c r="K31" s="532">
        <f>F31+I31+J31</f>
        <v>0</v>
      </c>
      <c r="L31" s="538"/>
      <c r="M31" s="576"/>
      <c r="N31" s="539"/>
      <c r="O31" s="383"/>
      <c r="P31" s="384"/>
      <c r="Q31" s="385"/>
    </row>
    <row r="32" spans="1:17" s="159" customFormat="1" ht="13.5" thickBot="1" x14ac:dyDescent="0.25">
      <c r="A32" s="158"/>
      <c r="C32" s="390"/>
      <c r="D32" s="374"/>
      <c r="E32" s="255"/>
      <c r="F32" s="375"/>
      <c r="G32" s="531"/>
      <c r="H32" s="377"/>
      <c r="I32" s="375"/>
      <c r="J32" s="257"/>
      <c r="K32" s="537"/>
      <c r="M32" s="276"/>
      <c r="O32" s="383"/>
      <c r="P32" s="384"/>
      <c r="Q32" s="385"/>
    </row>
    <row r="33" spans="1:20" s="159" customFormat="1" ht="13.5" thickTop="1" x14ac:dyDescent="0.2">
      <c r="A33" s="389"/>
      <c r="B33" s="5"/>
      <c r="C33" s="390"/>
      <c r="D33" s="374"/>
      <c r="E33" s="255"/>
      <c r="F33" s="375"/>
      <c r="G33" s="531"/>
      <c r="H33" s="377"/>
      <c r="I33" s="375"/>
      <c r="J33" s="391" t="s">
        <v>30</v>
      </c>
      <c r="K33" s="534">
        <f>SUM(K24:K32)</f>
        <v>0</v>
      </c>
      <c r="M33" s="276"/>
      <c r="O33" s="383"/>
      <c r="P33" s="384"/>
      <c r="Q33" s="385"/>
    </row>
    <row r="34" spans="1:20" s="159" customFormat="1" ht="13.5" thickBot="1" x14ac:dyDescent="0.25">
      <c r="A34" s="355" t="s">
        <v>0</v>
      </c>
      <c r="B34" s="356" t="s">
        <v>1</v>
      </c>
      <c r="C34" s="948" t="s">
        <v>656</v>
      </c>
      <c r="D34" s="948"/>
      <c r="E34" s="948"/>
      <c r="F34" s="948"/>
      <c r="G34" s="948" t="s">
        <v>34</v>
      </c>
      <c r="H34" s="948"/>
      <c r="I34" s="948"/>
      <c r="J34" s="357"/>
      <c r="K34" s="525"/>
      <c r="L34" s="157"/>
      <c r="M34" s="471"/>
      <c r="N34" s="157"/>
      <c r="O34" s="383"/>
      <c r="P34" s="384"/>
      <c r="Q34" s="385"/>
    </row>
    <row r="35" spans="1:20" s="159" customFormat="1" ht="16.5" thickBot="1" x14ac:dyDescent="0.3">
      <c r="A35" s="526" t="s">
        <v>588</v>
      </c>
      <c r="B35" s="526" t="s">
        <v>589</v>
      </c>
      <c r="C35" s="398" t="s">
        <v>19</v>
      </c>
      <c r="D35" s="399" t="s">
        <v>33</v>
      </c>
      <c r="E35" s="400" t="s">
        <v>35</v>
      </c>
      <c r="F35" s="401" t="s">
        <v>30</v>
      </c>
      <c r="G35" s="535" t="s">
        <v>14</v>
      </c>
      <c r="H35" s="400" t="s">
        <v>35</v>
      </c>
      <c r="I35" s="401" t="s">
        <v>30</v>
      </c>
      <c r="J35" s="366" t="s">
        <v>659</v>
      </c>
      <c r="K35" s="536" t="s">
        <v>38</v>
      </c>
      <c r="L35" s="393"/>
      <c r="M35" s="394"/>
      <c r="N35" s="395"/>
      <c r="O35" s="383"/>
      <c r="P35" s="384"/>
      <c r="Q35" s="385"/>
    </row>
    <row r="36" spans="1:20" s="159" customFormat="1" x14ac:dyDescent="0.2">
      <c r="A36" s="158" t="s">
        <v>593</v>
      </c>
      <c r="B36" s="159" t="s">
        <v>590</v>
      </c>
      <c r="C36" s="373"/>
      <c r="D36" s="374" t="s">
        <v>21</v>
      </c>
      <c r="E36" s="255">
        <v>0</v>
      </c>
      <c r="F36" s="375">
        <f>C36*E36</f>
        <v>0</v>
      </c>
      <c r="G36" s="531"/>
      <c r="H36" s="377">
        <v>0</v>
      </c>
      <c r="I36" s="375">
        <f>G36*H36</f>
        <v>0</v>
      </c>
      <c r="J36" s="378"/>
      <c r="K36" s="532">
        <f>F36+I36+J36</f>
        <v>0</v>
      </c>
      <c r="L36" s="404"/>
      <c r="M36" s="405"/>
      <c r="N36" s="406"/>
      <c r="O36" s="383"/>
      <c r="P36" s="384"/>
      <c r="Q36" s="385"/>
    </row>
    <row r="37" spans="1:20" s="159" customFormat="1" x14ac:dyDescent="0.2">
      <c r="A37" s="158" t="s">
        <v>592</v>
      </c>
      <c r="B37" s="159" t="s">
        <v>591</v>
      </c>
      <c r="C37" s="373"/>
      <c r="D37" s="374" t="s">
        <v>21</v>
      </c>
      <c r="E37" s="255">
        <v>0</v>
      </c>
      <c r="F37" s="375">
        <f>C37*E37</f>
        <v>0</v>
      </c>
      <c r="G37" s="531"/>
      <c r="H37" s="377">
        <v>0</v>
      </c>
      <c r="I37" s="375">
        <f>G37*H37</f>
        <v>0</v>
      </c>
      <c r="J37" s="378"/>
      <c r="K37" s="532">
        <f>F37+I37+J37</f>
        <v>0</v>
      </c>
      <c r="L37" s="540"/>
      <c r="M37" s="668"/>
      <c r="N37" s="667"/>
      <c r="O37" s="412"/>
      <c r="P37" s="413"/>
      <c r="Q37" s="385"/>
    </row>
    <row r="38" spans="1:20" s="159" customFormat="1" x14ac:dyDescent="0.2">
      <c r="A38" s="372"/>
      <c r="B38" s="5"/>
      <c r="C38" s="373"/>
      <c r="D38" s="374" t="s">
        <v>21</v>
      </c>
      <c r="E38" s="255">
        <v>0</v>
      </c>
      <c r="F38" s="375">
        <f>C38*E38</f>
        <v>0</v>
      </c>
      <c r="G38" s="531"/>
      <c r="H38" s="377">
        <v>0</v>
      </c>
      <c r="I38" s="375">
        <f>G38*H38</f>
        <v>0</v>
      </c>
      <c r="J38" s="378"/>
      <c r="K38" s="532">
        <f>F38+I38+J38</f>
        <v>0</v>
      </c>
      <c r="L38" s="380"/>
      <c r="M38" s="381"/>
      <c r="N38" s="382"/>
      <c r="O38" s="412"/>
      <c r="P38" s="413"/>
      <c r="Q38" s="385"/>
    </row>
    <row r="39" spans="1:20" s="159" customFormat="1" ht="15" x14ac:dyDescent="0.2">
      <c r="A39" s="389"/>
      <c r="B39" s="414"/>
      <c r="C39" s="390"/>
      <c r="D39" s="374"/>
      <c r="E39" s="255"/>
      <c r="F39" s="375"/>
      <c r="G39" s="531"/>
      <c r="H39" s="377"/>
      <c r="I39" s="375"/>
      <c r="J39" s="378"/>
      <c r="K39" s="537"/>
      <c r="M39" s="276"/>
      <c r="O39" s="412"/>
      <c r="P39" s="413"/>
      <c r="Q39" s="385"/>
      <c r="S39" s="196"/>
      <c r="T39" s="196"/>
    </row>
    <row r="40" spans="1:20" s="159" customFormat="1" ht="15.75" thickBot="1" x14ac:dyDescent="0.25">
      <c r="A40" s="389"/>
      <c r="B40" s="414"/>
      <c r="C40" s="390"/>
      <c r="D40" s="374"/>
      <c r="E40" s="255"/>
      <c r="F40" s="375"/>
      <c r="G40" s="531"/>
      <c r="H40" s="377"/>
      <c r="I40" s="375"/>
      <c r="J40" s="378"/>
      <c r="K40" s="537"/>
      <c r="M40" s="276"/>
      <c r="O40" s="412"/>
      <c r="P40" s="413"/>
      <c r="Q40" s="385"/>
      <c r="S40" s="196"/>
      <c r="T40" s="196"/>
    </row>
    <row r="41" spans="1:20" s="159" customFormat="1" ht="15.75" thickTop="1" x14ac:dyDescent="0.2">
      <c r="A41" s="389"/>
      <c r="B41" s="414"/>
      <c r="C41" s="390"/>
      <c r="D41" s="374"/>
      <c r="E41" s="255"/>
      <c r="F41" s="375"/>
      <c r="G41" s="531"/>
      <c r="H41" s="377"/>
      <c r="I41" s="375"/>
      <c r="J41" s="391" t="s">
        <v>30</v>
      </c>
      <c r="K41" s="534">
        <f>SUM(K36:K40)</f>
        <v>0</v>
      </c>
      <c r="L41" s="380"/>
      <c r="M41" s="381"/>
      <c r="N41" s="382"/>
      <c r="O41" s="412"/>
      <c r="P41" s="413"/>
      <c r="Q41" s="385"/>
      <c r="S41" s="196"/>
      <c r="T41" s="196"/>
    </row>
    <row r="42" spans="1:20" s="159" customFormat="1" ht="15.75" thickBot="1" x14ac:dyDescent="0.25">
      <c r="A42" s="355" t="s">
        <v>0</v>
      </c>
      <c r="B42" s="356" t="s">
        <v>1</v>
      </c>
      <c r="C42" s="948" t="s">
        <v>656</v>
      </c>
      <c r="D42" s="948"/>
      <c r="E42" s="948"/>
      <c r="F42" s="948"/>
      <c r="G42" s="948" t="s">
        <v>34</v>
      </c>
      <c r="H42" s="948"/>
      <c r="I42" s="948"/>
      <c r="J42" s="357"/>
      <c r="K42" s="525"/>
      <c r="L42" s="393"/>
      <c r="M42" s="394"/>
      <c r="N42" s="395"/>
      <c r="O42" s="412"/>
      <c r="P42" s="413"/>
      <c r="Q42" s="385"/>
      <c r="S42" s="196"/>
      <c r="T42" s="196"/>
    </row>
    <row r="43" spans="1:20" s="159" customFormat="1" ht="15.75" x14ac:dyDescent="0.25">
      <c r="A43" s="527" t="s">
        <v>594</v>
      </c>
      <c r="B43" s="527" t="s">
        <v>595</v>
      </c>
      <c r="C43" s="398" t="s">
        <v>19</v>
      </c>
      <c r="D43" s="399" t="s">
        <v>33</v>
      </c>
      <c r="E43" s="400" t="s">
        <v>35</v>
      </c>
      <c r="F43" s="401" t="s">
        <v>30</v>
      </c>
      <c r="G43" s="535" t="s">
        <v>14</v>
      </c>
      <c r="H43" s="400" t="s">
        <v>35</v>
      </c>
      <c r="I43" s="401" t="s">
        <v>30</v>
      </c>
      <c r="J43" s="366" t="s">
        <v>659</v>
      </c>
      <c r="K43" s="536" t="s">
        <v>38</v>
      </c>
      <c r="L43" s="404"/>
      <c r="M43" s="410"/>
      <c r="N43" s="411"/>
      <c r="O43" s="383"/>
      <c r="P43" s="384"/>
      <c r="Q43" s="385"/>
      <c r="S43" s="157"/>
      <c r="T43" s="157"/>
    </row>
    <row r="44" spans="1:20" s="159" customFormat="1" ht="15" x14ac:dyDescent="0.2">
      <c r="A44" s="530" t="s">
        <v>596</v>
      </c>
      <c r="B44" s="196" t="s">
        <v>597</v>
      </c>
      <c r="C44" s="373"/>
      <c r="D44" s="374" t="s">
        <v>21</v>
      </c>
      <c r="E44" s="255">
        <v>0</v>
      </c>
      <c r="F44" s="375">
        <f>C44*E44</f>
        <v>0</v>
      </c>
      <c r="G44" s="531"/>
      <c r="H44" s="377">
        <v>0</v>
      </c>
      <c r="I44" s="375">
        <f>G44*H44</f>
        <v>0</v>
      </c>
      <c r="J44" s="378"/>
      <c r="K44" s="532">
        <f>F44+I44+J44</f>
        <v>0</v>
      </c>
      <c r="M44" s="276"/>
      <c r="O44" s="383"/>
      <c r="P44" s="384"/>
      <c r="Q44" s="385"/>
    </row>
    <row r="45" spans="1:20" s="159" customFormat="1" ht="15" x14ac:dyDescent="0.2">
      <c r="A45" s="530" t="s">
        <v>598</v>
      </c>
      <c r="B45" s="196" t="s">
        <v>599</v>
      </c>
      <c r="C45" s="373"/>
      <c r="D45" s="374" t="s">
        <v>21</v>
      </c>
      <c r="E45" s="255">
        <v>0</v>
      </c>
      <c r="F45" s="375">
        <f>C45*E45</f>
        <v>0</v>
      </c>
      <c r="G45" s="531"/>
      <c r="H45" s="377">
        <v>0</v>
      </c>
      <c r="I45" s="375">
        <f>G45*H45</f>
        <v>0</v>
      </c>
      <c r="J45" s="378"/>
      <c r="K45" s="532">
        <f>F45+I45+J45</f>
        <v>0</v>
      </c>
      <c r="M45" s="276"/>
      <c r="O45" s="383"/>
      <c r="P45" s="413"/>
      <c r="Q45" s="385"/>
    </row>
    <row r="46" spans="1:20" s="159" customFormat="1" ht="15" x14ac:dyDescent="0.2">
      <c r="A46" s="530" t="s">
        <v>600</v>
      </c>
      <c r="B46" s="196" t="s">
        <v>601</v>
      </c>
      <c r="C46" s="373"/>
      <c r="D46" s="374" t="s">
        <v>21</v>
      </c>
      <c r="E46" s="255">
        <v>0</v>
      </c>
      <c r="F46" s="375">
        <f>C46*E46</f>
        <v>0</v>
      </c>
      <c r="G46" s="531"/>
      <c r="H46" s="377">
        <v>0</v>
      </c>
      <c r="I46" s="375">
        <f>G46*H46</f>
        <v>0</v>
      </c>
      <c r="J46" s="378"/>
      <c r="K46" s="532">
        <f>F46+I46+J46</f>
        <v>0</v>
      </c>
      <c r="L46" s="380"/>
      <c r="M46" s="257"/>
      <c r="N46" s="423"/>
      <c r="O46" s="383"/>
      <c r="P46" s="384"/>
      <c r="Q46" s="385"/>
    </row>
    <row r="47" spans="1:20" s="159" customFormat="1" x14ac:dyDescent="0.2">
      <c r="A47" s="258" t="s">
        <v>603</v>
      </c>
      <c r="B47" s="258" t="s">
        <v>602</v>
      </c>
      <c r="C47" s="373"/>
      <c r="D47" s="374" t="s">
        <v>21</v>
      </c>
      <c r="E47" s="255">
        <v>0</v>
      </c>
      <c r="F47" s="375">
        <f>C47*E47</f>
        <v>0</v>
      </c>
      <c r="G47" s="531"/>
      <c r="H47" s="377">
        <v>0</v>
      </c>
      <c r="I47" s="375">
        <f>G47*H47</f>
        <v>0</v>
      </c>
      <c r="J47" s="378"/>
      <c r="K47" s="532">
        <f>F47+I47+J47</f>
        <v>0</v>
      </c>
      <c r="L47" s="538"/>
      <c r="M47" s="576"/>
      <c r="N47" s="539"/>
      <c r="O47" s="383"/>
      <c r="P47" s="384"/>
      <c r="Q47" s="385"/>
    </row>
    <row r="48" spans="1:20" s="159" customFormat="1" x14ac:dyDescent="0.2">
      <c r="A48" s="372"/>
      <c r="B48" s="5"/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M48" s="276"/>
      <c r="O48" s="383"/>
      <c r="P48" s="384"/>
      <c r="Q48" s="385"/>
    </row>
    <row r="49" spans="1:17" s="159" customFormat="1" ht="13.5" thickBot="1" x14ac:dyDescent="0.25">
      <c r="A49" s="389"/>
      <c r="B49" s="414"/>
      <c r="C49" s="390"/>
      <c r="D49" s="374"/>
      <c r="E49" s="255"/>
      <c r="F49" s="375"/>
      <c r="G49" s="531"/>
      <c r="H49" s="377"/>
      <c r="I49" s="375"/>
      <c r="J49" s="378"/>
      <c r="K49" s="537"/>
      <c r="M49" s="276"/>
      <c r="O49" s="383"/>
      <c r="P49" s="384"/>
      <c r="Q49" s="385"/>
    </row>
    <row r="50" spans="1:17" s="159" customFormat="1" ht="13.5" thickTop="1" x14ac:dyDescent="0.2">
      <c r="A50" s="389"/>
      <c r="B50" s="414"/>
      <c r="C50" s="390"/>
      <c r="D50" s="374"/>
      <c r="E50" s="255"/>
      <c r="F50" s="375"/>
      <c r="G50" s="531"/>
      <c r="H50" s="377"/>
      <c r="I50" s="375"/>
      <c r="J50" s="391" t="s">
        <v>30</v>
      </c>
      <c r="K50" s="534">
        <f>SUM(K44:K49)</f>
        <v>0</v>
      </c>
      <c r="L50" s="380"/>
      <c r="M50" s="257"/>
      <c r="N50" s="423"/>
      <c r="O50" s="383"/>
      <c r="P50" s="384"/>
      <c r="Q50" s="385"/>
    </row>
    <row r="51" spans="1:17" s="159" customFormat="1" ht="13.5" thickBot="1" x14ac:dyDescent="0.25">
      <c r="A51" s="355" t="s">
        <v>0</v>
      </c>
      <c r="B51" s="356" t="s">
        <v>1</v>
      </c>
      <c r="C51" s="948" t="s">
        <v>656</v>
      </c>
      <c r="D51" s="948"/>
      <c r="E51" s="948"/>
      <c r="F51" s="948"/>
      <c r="G51" s="948" t="s">
        <v>34</v>
      </c>
      <c r="H51" s="948"/>
      <c r="I51" s="948"/>
      <c r="J51" s="357"/>
      <c r="K51" s="525"/>
      <c r="L51" s="393"/>
      <c r="M51" s="394"/>
      <c r="N51" s="395"/>
      <c r="O51" s="383"/>
      <c r="P51" s="384"/>
      <c r="Q51" s="385"/>
    </row>
    <row r="52" spans="1:17" s="159" customFormat="1" ht="15.75" x14ac:dyDescent="0.25">
      <c r="A52" s="527" t="s">
        <v>604</v>
      </c>
      <c r="B52" s="527" t="s">
        <v>605</v>
      </c>
      <c r="C52" s="398" t="s">
        <v>19</v>
      </c>
      <c r="D52" s="399" t="s">
        <v>33</v>
      </c>
      <c r="E52" s="400" t="s">
        <v>35</v>
      </c>
      <c r="F52" s="401" t="s">
        <v>30</v>
      </c>
      <c r="G52" s="535" t="s">
        <v>14</v>
      </c>
      <c r="H52" s="400" t="s">
        <v>35</v>
      </c>
      <c r="I52" s="401" t="s">
        <v>30</v>
      </c>
      <c r="J52" s="366" t="s">
        <v>659</v>
      </c>
      <c r="K52" s="536" t="s">
        <v>38</v>
      </c>
      <c r="L52" s="404"/>
      <c r="M52" s="410"/>
      <c r="N52" s="411"/>
      <c r="O52" s="438"/>
      <c r="P52" s="439"/>
      <c r="Q52" s="385"/>
    </row>
    <row r="53" spans="1:17" s="159" customFormat="1" ht="15" x14ac:dyDescent="0.2">
      <c r="A53" s="196" t="s">
        <v>606</v>
      </c>
      <c r="B53" s="196" t="s">
        <v>607</v>
      </c>
      <c r="C53" s="373"/>
      <c r="D53" s="374" t="s">
        <v>21</v>
      </c>
      <c r="E53" s="255">
        <v>0</v>
      </c>
      <c r="F53" s="375">
        <f t="shared" ref="F53:F59" si="6">C53*E53</f>
        <v>0</v>
      </c>
      <c r="G53" s="531"/>
      <c r="H53" s="377">
        <v>0</v>
      </c>
      <c r="I53" s="375">
        <f t="shared" ref="I53:I59" si="7">G53*H53</f>
        <v>0</v>
      </c>
      <c r="J53" s="378"/>
      <c r="K53" s="532">
        <f t="shared" ref="K53:K59" si="8">F53+I53+J53</f>
        <v>0</v>
      </c>
      <c r="M53" s="276"/>
      <c r="O53" s="438"/>
      <c r="P53" s="439"/>
      <c r="Q53" s="385"/>
    </row>
    <row r="54" spans="1:17" s="159" customFormat="1" ht="15" x14ac:dyDescent="0.2">
      <c r="A54" s="196" t="s">
        <v>608</v>
      </c>
      <c r="B54" s="196" t="s">
        <v>609</v>
      </c>
      <c r="C54" s="373"/>
      <c r="D54" s="374" t="s">
        <v>21</v>
      </c>
      <c r="E54" s="255">
        <v>0</v>
      </c>
      <c r="F54" s="375">
        <f t="shared" si="6"/>
        <v>0</v>
      </c>
      <c r="G54" s="531"/>
      <c r="H54" s="377">
        <v>0</v>
      </c>
      <c r="I54" s="375">
        <f t="shared" si="7"/>
        <v>0</v>
      </c>
      <c r="J54" s="378"/>
      <c r="K54" s="532">
        <f t="shared" si="8"/>
        <v>0</v>
      </c>
      <c r="M54" s="276"/>
      <c r="O54" s="412"/>
      <c r="P54" s="413"/>
      <c r="Q54" s="385"/>
    </row>
    <row r="55" spans="1:17" s="159" customFormat="1" ht="15" x14ac:dyDescent="0.2">
      <c r="A55" s="196" t="s">
        <v>611</v>
      </c>
      <c r="B55" s="196" t="s">
        <v>610</v>
      </c>
      <c r="C55" s="373"/>
      <c r="D55" s="374" t="s">
        <v>21</v>
      </c>
      <c r="E55" s="255">
        <v>0</v>
      </c>
      <c r="F55" s="375">
        <f t="shared" si="6"/>
        <v>0</v>
      </c>
      <c r="G55" s="531"/>
      <c r="H55" s="377">
        <v>0</v>
      </c>
      <c r="I55" s="375">
        <f t="shared" si="7"/>
        <v>0</v>
      </c>
      <c r="J55" s="378"/>
      <c r="K55" s="532">
        <f t="shared" si="8"/>
        <v>0</v>
      </c>
      <c r="M55" s="276"/>
      <c r="O55" s="383"/>
      <c r="P55" s="384"/>
      <c r="Q55" s="385"/>
    </row>
    <row r="56" spans="1:17" s="159" customFormat="1" x14ac:dyDescent="0.2">
      <c r="A56" s="372"/>
      <c r="B56" s="5"/>
      <c r="C56" s="373"/>
      <c r="D56" s="374" t="s">
        <v>21</v>
      </c>
      <c r="E56" s="255">
        <v>0</v>
      </c>
      <c r="F56" s="375">
        <f t="shared" si="6"/>
        <v>0</v>
      </c>
      <c r="G56" s="531"/>
      <c r="H56" s="377">
        <v>0</v>
      </c>
      <c r="I56" s="375">
        <f t="shared" si="7"/>
        <v>0</v>
      </c>
      <c r="J56" s="378"/>
      <c r="K56" s="532">
        <f t="shared" si="8"/>
        <v>0</v>
      </c>
      <c r="M56" s="276"/>
      <c r="O56" s="383"/>
      <c r="P56" s="384"/>
      <c r="Q56" s="385"/>
    </row>
    <row r="57" spans="1:17" s="159" customFormat="1" x14ac:dyDescent="0.2">
      <c r="A57" s="372"/>
      <c r="B57" s="5"/>
      <c r="C57" s="373"/>
      <c r="D57" s="374" t="s">
        <v>21</v>
      </c>
      <c r="E57" s="255">
        <v>0</v>
      </c>
      <c r="F57" s="375">
        <f t="shared" si="6"/>
        <v>0</v>
      </c>
      <c r="G57" s="531"/>
      <c r="H57" s="377">
        <v>0</v>
      </c>
      <c r="I57" s="375">
        <f t="shared" si="7"/>
        <v>0</v>
      </c>
      <c r="J57" s="378"/>
      <c r="K57" s="532">
        <f t="shared" si="8"/>
        <v>0</v>
      </c>
      <c r="M57" s="276"/>
      <c r="O57" s="383"/>
      <c r="P57" s="384"/>
      <c r="Q57" s="385"/>
    </row>
    <row r="58" spans="1:17" s="159" customFormat="1" x14ac:dyDescent="0.2">
      <c r="A58" s="372"/>
      <c r="B58" s="5"/>
      <c r="C58" s="373"/>
      <c r="D58" s="374" t="s">
        <v>21</v>
      </c>
      <c r="E58" s="255">
        <v>0</v>
      </c>
      <c r="F58" s="375">
        <f t="shared" si="6"/>
        <v>0</v>
      </c>
      <c r="G58" s="531"/>
      <c r="H58" s="377">
        <v>0</v>
      </c>
      <c r="I58" s="375">
        <f t="shared" si="7"/>
        <v>0</v>
      </c>
      <c r="J58" s="378"/>
      <c r="K58" s="532">
        <f t="shared" si="8"/>
        <v>0</v>
      </c>
      <c r="L58" s="380"/>
      <c r="M58" s="257"/>
      <c r="N58" s="382"/>
      <c r="O58" s="383"/>
      <c r="P58" s="384"/>
      <c r="Q58" s="385"/>
    </row>
    <row r="59" spans="1:17" s="159" customFormat="1" x14ac:dyDescent="0.2">
      <c r="A59" s="372"/>
      <c r="B59" s="5"/>
      <c r="C59" s="373"/>
      <c r="D59" s="374" t="s">
        <v>21</v>
      </c>
      <c r="E59" s="255">
        <v>0</v>
      </c>
      <c r="F59" s="375">
        <f t="shared" si="6"/>
        <v>0</v>
      </c>
      <c r="G59" s="531"/>
      <c r="H59" s="377">
        <v>0</v>
      </c>
      <c r="I59" s="375">
        <f t="shared" si="7"/>
        <v>0</v>
      </c>
      <c r="J59" s="378"/>
      <c r="K59" s="532">
        <f t="shared" si="8"/>
        <v>0</v>
      </c>
      <c r="M59" s="276"/>
      <c r="O59" s="383"/>
      <c r="P59" s="384"/>
      <c r="Q59" s="385"/>
    </row>
    <row r="60" spans="1:17" s="159" customFormat="1" ht="13.5" thickBot="1" x14ac:dyDescent="0.25">
      <c r="A60" s="389"/>
      <c r="B60" s="5"/>
      <c r="C60" s="390"/>
      <c r="D60" s="374"/>
      <c r="E60" s="255"/>
      <c r="F60" s="375"/>
      <c r="G60" s="531"/>
      <c r="H60" s="377"/>
      <c r="I60" s="375"/>
      <c r="J60" s="378"/>
      <c r="K60" s="537"/>
      <c r="M60" s="276"/>
      <c r="O60" s="383"/>
      <c r="P60" s="384"/>
      <c r="Q60" s="385"/>
    </row>
    <row r="61" spans="1:17" s="159" customFormat="1" ht="13.5" thickTop="1" x14ac:dyDescent="0.2">
      <c r="A61" s="389"/>
      <c r="B61" s="414"/>
      <c r="C61" s="390"/>
      <c r="D61" s="374"/>
      <c r="E61" s="255"/>
      <c r="F61" s="375"/>
      <c r="G61" s="531"/>
      <c r="H61" s="377"/>
      <c r="I61" s="375"/>
      <c r="J61" s="391" t="s">
        <v>30</v>
      </c>
      <c r="K61" s="534">
        <f>SUM(K53:K60)</f>
        <v>0</v>
      </c>
      <c r="L61" s="380"/>
      <c r="M61" s="257"/>
      <c r="N61" s="423"/>
      <c r="O61" s="383"/>
      <c r="P61" s="384"/>
      <c r="Q61" s="385"/>
    </row>
    <row r="62" spans="1:17" s="159" customFormat="1" ht="13.5" thickBot="1" x14ac:dyDescent="0.25">
      <c r="A62" s="355" t="s">
        <v>0</v>
      </c>
      <c r="B62" s="356" t="s">
        <v>1</v>
      </c>
      <c r="C62" s="948" t="s">
        <v>656</v>
      </c>
      <c r="D62" s="948"/>
      <c r="E62" s="948"/>
      <c r="F62" s="948"/>
      <c r="G62" s="948" t="s">
        <v>34</v>
      </c>
      <c r="H62" s="948"/>
      <c r="I62" s="948"/>
      <c r="J62" s="357"/>
      <c r="K62" s="525"/>
      <c r="L62" s="393"/>
      <c r="M62" s="394"/>
      <c r="N62" s="395"/>
      <c r="O62" s="383"/>
      <c r="P62" s="384"/>
      <c r="Q62" s="385"/>
    </row>
    <row r="63" spans="1:17" s="159" customFormat="1" ht="16.5" thickBot="1" x14ac:dyDescent="0.3">
      <c r="A63" s="396"/>
      <c r="B63" s="397"/>
      <c r="C63" s="398" t="s">
        <v>19</v>
      </c>
      <c r="D63" s="399" t="s">
        <v>33</v>
      </c>
      <c r="E63" s="400" t="s">
        <v>35</v>
      </c>
      <c r="F63" s="401" t="s">
        <v>30</v>
      </c>
      <c r="G63" s="535" t="s">
        <v>14</v>
      </c>
      <c r="H63" s="400" t="s">
        <v>35</v>
      </c>
      <c r="I63" s="401" t="s">
        <v>30</v>
      </c>
      <c r="J63" s="366" t="s">
        <v>659</v>
      </c>
      <c r="K63" s="536" t="s">
        <v>38</v>
      </c>
      <c r="L63" s="404"/>
      <c r="M63" s="410"/>
      <c r="N63" s="411"/>
      <c r="O63" s="383"/>
      <c r="P63" s="384"/>
      <c r="Q63" s="385"/>
    </row>
    <row r="64" spans="1:17" s="159" customFormat="1" x14ac:dyDescent="0.2">
      <c r="A64" s="407"/>
      <c r="B64" s="408"/>
      <c r="C64" s="373"/>
      <c r="D64" s="374" t="s">
        <v>21</v>
      </c>
      <c r="E64" s="255">
        <v>0</v>
      </c>
      <c r="F64" s="375">
        <f>C64*E64</f>
        <v>0</v>
      </c>
      <c r="G64" s="531"/>
      <c r="H64" s="377">
        <v>0</v>
      </c>
      <c r="I64" s="375">
        <f>G64*H64</f>
        <v>0</v>
      </c>
      <c r="J64" s="378"/>
      <c r="K64" s="532">
        <f>F64+I64+J64</f>
        <v>0</v>
      </c>
      <c r="M64" s="276"/>
      <c r="O64" s="383"/>
      <c r="P64" s="384"/>
      <c r="Q64" s="385"/>
    </row>
    <row r="65" spans="1:17" s="159" customFormat="1" x14ac:dyDescent="0.2">
      <c r="A65" s="372"/>
      <c r="B65" s="5"/>
      <c r="C65" s="373"/>
      <c r="D65" s="374" t="s">
        <v>21</v>
      </c>
      <c r="E65" s="255">
        <v>0</v>
      </c>
      <c r="F65" s="375">
        <f>C65*E65</f>
        <v>0</v>
      </c>
      <c r="G65" s="531"/>
      <c r="H65" s="377">
        <v>0</v>
      </c>
      <c r="I65" s="375">
        <f>G65*H65</f>
        <v>0</v>
      </c>
      <c r="J65" s="378"/>
      <c r="K65" s="532">
        <f>F65+I65+J65</f>
        <v>0</v>
      </c>
      <c r="M65" s="276"/>
      <c r="O65" s="383"/>
      <c r="P65" s="384"/>
      <c r="Q65" s="385"/>
    </row>
    <row r="66" spans="1:17" s="159" customFormat="1" x14ac:dyDescent="0.2">
      <c r="A66" s="372"/>
      <c r="B66" s="5"/>
      <c r="C66" s="373"/>
      <c r="D66" s="374" t="s">
        <v>21</v>
      </c>
      <c r="E66" s="255">
        <v>0</v>
      </c>
      <c r="F66" s="375">
        <f>C66*E66</f>
        <v>0</v>
      </c>
      <c r="G66" s="531"/>
      <c r="H66" s="377">
        <v>0</v>
      </c>
      <c r="I66" s="375">
        <f>G66*H66</f>
        <v>0</v>
      </c>
      <c r="J66" s="378"/>
      <c r="K66" s="532">
        <f>F66+I66+J66</f>
        <v>0</v>
      </c>
      <c r="M66" s="276"/>
      <c r="O66" s="383"/>
      <c r="P66" s="384"/>
      <c r="Q66" s="385"/>
    </row>
    <row r="67" spans="1:17" s="159" customFormat="1" x14ac:dyDescent="0.2">
      <c r="A67" s="372"/>
      <c r="B67" s="5"/>
      <c r="C67" s="373"/>
      <c r="D67" s="374" t="s">
        <v>21</v>
      </c>
      <c r="E67" s="255">
        <v>0</v>
      </c>
      <c r="F67" s="375">
        <f>C67*E67</f>
        <v>0</v>
      </c>
      <c r="G67" s="531"/>
      <c r="H67" s="377">
        <v>0</v>
      </c>
      <c r="I67" s="375">
        <f>G67*H67</f>
        <v>0</v>
      </c>
      <c r="J67" s="378"/>
      <c r="K67" s="532">
        <f>F67+I67+J67</f>
        <v>0</v>
      </c>
      <c r="L67" s="380"/>
      <c r="M67" s="381"/>
      <c r="N67" s="382"/>
      <c r="O67" s="383"/>
      <c r="P67" s="384"/>
      <c r="Q67" s="385"/>
    </row>
    <row r="68" spans="1:17" s="159" customFormat="1" x14ac:dyDescent="0.2">
      <c r="A68" s="372"/>
      <c r="B68" s="5"/>
      <c r="C68" s="373"/>
      <c r="D68" s="374" t="s">
        <v>21</v>
      </c>
      <c r="E68" s="255">
        <v>0</v>
      </c>
      <c r="F68" s="375">
        <f>C68*E68</f>
        <v>0</v>
      </c>
      <c r="G68" s="531"/>
      <c r="H68" s="377">
        <v>0</v>
      </c>
      <c r="I68" s="375">
        <f>G68*H68</f>
        <v>0</v>
      </c>
      <c r="J68" s="378"/>
      <c r="K68" s="532">
        <f>F68+I68+J68</f>
        <v>0</v>
      </c>
      <c r="M68" s="276"/>
      <c r="O68" s="383"/>
      <c r="P68" s="384"/>
      <c r="Q68" s="385"/>
    </row>
    <row r="69" spans="1:17" s="159" customFormat="1" ht="13.5" thickBot="1" x14ac:dyDescent="0.25">
      <c r="A69" s="389"/>
      <c r="B69" s="5"/>
      <c r="C69" s="390"/>
      <c r="D69" s="374"/>
      <c r="E69" s="255"/>
      <c r="F69" s="375"/>
      <c r="G69" s="531"/>
      <c r="H69" s="377"/>
      <c r="I69" s="375"/>
      <c r="J69" s="378"/>
      <c r="K69" s="537"/>
      <c r="M69" s="276"/>
      <c r="O69" s="383"/>
      <c r="P69" s="384"/>
      <c r="Q69" s="385"/>
    </row>
    <row r="70" spans="1:17" s="159" customFormat="1" ht="13.5" thickTop="1" x14ac:dyDescent="0.2">
      <c r="A70" s="389"/>
      <c r="B70" s="414"/>
      <c r="C70" s="390"/>
      <c r="D70" s="374"/>
      <c r="E70" s="255"/>
      <c r="F70" s="375"/>
      <c r="G70" s="531"/>
      <c r="H70" s="377"/>
      <c r="I70" s="375"/>
      <c r="J70" s="391" t="s">
        <v>30</v>
      </c>
      <c r="K70" s="534">
        <f>SUM(K64:K69)</f>
        <v>0</v>
      </c>
      <c r="M70" s="278"/>
      <c r="N70" s="157"/>
      <c r="O70" s="383"/>
      <c r="P70" s="384"/>
      <c r="Q70" s="385"/>
    </row>
    <row r="71" spans="1:17" s="159" customFormat="1" ht="13.5" thickBot="1" x14ac:dyDescent="0.25">
      <c r="A71" s="355" t="s">
        <v>0</v>
      </c>
      <c r="B71" s="356" t="s">
        <v>1</v>
      </c>
      <c r="C71" s="948" t="s">
        <v>656</v>
      </c>
      <c r="D71" s="948"/>
      <c r="E71" s="948"/>
      <c r="F71" s="948"/>
      <c r="G71" s="948" t="s">
        <v>34</v>
      </c>
      <c r="H71" s="948"/>
      <c r="I71" s="948"/>
      <c r="J71" s="357"/>
      <c r="K71" s="525"/>
      <c r="L71" s="393"/>
      <c r="M71" s="394"/>
      <c r="N71" s="395"/>
      <c r="O71" s="383"/>
      <c r="P71" s="384"/>
      <c r="Q71" s="385"/>
    </row>
    <row r="72" spans="1:17" s="159" customFormat="1" ht="16.5" thickBot="1" x14ac:dyDescent="0.3">
      <c r="A72" s="396"/>
      <c r="B72" s="397"/>
      <c r="C72" s="398" t="s">
        <v>19</v>
      </c>
      <c r="D72" s="399" t="s">
        <v>33</v>
      </c>
      <c r="E72" s="400" t="s">
        <v>35</v>
      </c>
      <c r="F72" s="401" t="s">
        <v>30</v>
      </c>
      <c r="G72" s="535" t="s">
        <v>14</v>
      </c>
      <c r="H72" s="400" t="s">
        <v>35</v>
      </c>
      <c r="I72" s="401" t="s">
        <v>30</v>
      </c>
      <c r="J72" s="366" t="s">
        <v>659</v>
      </c>
      <c r="K72" s="536" t="s">
        <v>38</v>
      </c>
      <c r="L72" s="404"/>
      <c r="M72" s="410"/>
      <c r="N72" s="411"/>
      <c r="O72" s="383"/>
      <c r="P72" s="384"/>
      <c r="Q72" s="385"/>
    </row>
    <row r="73" spans="1:17" s="159" customFormat="1" x14ac:dyDescent="0.2">
      <c r="A73" s="407"/>
      <c r="B73" s="408"/>
      <c r="C73" s="373"/>
      <c r="D73" s="374" t="s">
        <v>21</v>
      </c>
      <c r="E73" s="255">
        <v>0</v>
      </c>
      <c r="F73" s="375">
        <f>C73*E73</f>
        <v>0</v>
      </c>
      <c r="G73" s="531"/>
      <c r="H73" s="377">
        <v>0</v>
      </c>
      <c r="I73" s="375">
        <f>G73*H73</f>
        <v>0</v>
      </c>
      <c r="J73" s="378"/>
      <c r="K73" s="532">
        <f>F73+I73+J73</f>
        <v>0</v>
      </c>
      <c r="M73" s="276"/>
      <c r="O73" s="383"/>
      <c r="P73" s="384"/>
      <c r="Q73" s="385"/>
    </row>
    <row r="74" spans="1:17" s="159" customFormat="1" x14ac:dyDescent="0.2">
      <c r="A74" s="372"/>
      <c r="B74" s="5"/>
      <c r="C74" s="373"/>
      <c r="D74" s="374" t="s">
        <v>21</v>
      </c>
      <c r="E74" s="255">
        <v>0</v>
      </c>
      <c r="F74" s="375">
        <f>C74*E74</f>
        <v>0</v>
      </c>
      <c r="G74" s="531"/>
      <c r="H74" s="377">
        <v>0</v>
      </c>
      <c r="I74" s="375">
        <f>G74*H74</f>
        <v>0</v>
      </c>
      <c r="J74" s="378"/>
      <c r="K74" s="532">
        <f>F74+I74+J74</f>
        <v>0</v>
      </c>
      <c r="M74" s="276"/>
      <c r="O74" s="383"/>
      <c r="P74" s="384"/>
      <c r="Q74" s="385"/>
    </row>
    <row r="75" spans="1:17" s="159" customFormat="1" x14ac:dyDescent="0.2">
      <c r="A75" s="372"/>
      <c r="B75" s="5"/>
      <c r="C75" s="373"/>
      <c r="D75" s="374" t="s">
        <v>21</v>
      </c>
      <c r="E75" s="255">
        <v>0</v>
      </c>
      <c r="F75" s="375">
        <f>C75*E75</f>
        <v>0</v>
      </c>
      <c r="G75" s="531"/>
      <c r="H75" s="377">
        <v>0</v>
      </c>
      <c r="I75" s="375">
        <f>G75*H75</f>
        <v>0</v>
      </c>
      <c r="J75" s="378"/>
      <c r="K75" s="532">
        <f>F75+I75+J75</f>
        <v>0</v>
      </c>
      <c r="M75" s="276"/>
      <c r="O75" s="383"/>
      <c r="P75" s="384"/>
      <c r="Q75" s="385"/>
    </row>
    <row r="76" spans="1:17" s="159" customFormat="1" ht="13.5" thickBot="1" x14ac:dyDescent="0.25">
      <c r="A76" s="389"/>
      <c r="B76" s="5"/>
      <c r="C76" s="390"/>
      <c r="D76" s="374"/>
      <c r="E76" s="255"/>
      <c r="F76" s="375"/>
      <c r="G76" s="531"/>
      <c r="H76" s="377"/>
      <c r="I76" s="375"/>
      <c r="J76" s="378"/>
      <c r="K76" s="537"/>
      <c r="M76" s="276"/>
      <c r="O76" s="383"/>
      <c r="P76" s="384"/>
      <c r="Q76" s="385"/>
    </row>
    <row r="77" spans="1:17" s="159" customFormat="1" ht="13.5" thickTop="1" x14ac:dyDescent="0.2">
      <c r="A77" s="389"/>
      <c r="B77" s="157"/>
      <c r="C77" s="390"/>
      <c r="D77" s="374"/>
      <c r="E77" s="255"/>
      <c r="F77" s="375"/>
      <c r="G77" s="531"/>
      <c r="H77" s="377"/>
      <c r="I77" s="375"/>
      <c r="J77" s="391" t="s">
        <v>30</v>
      </c>
      <c r="K77" s="534">
        <f>SUM(K73:K76)</f>
        <v>0</v>
      </c>
      <c r="M77" s="276"/>
      <c r="O77" s="383"/>
      <c r="P77" s="384"/>
      <c r="Q77" s="385"/>
    </row>
    <row r="78" spans="1:17" s="159" customFormat="1" ht="13.5" thickBot="1" x14ac:dyDescent="0.25">
      <c r="A78" s="355" t="s">
        <v>0</v>
      </c>
      <c r="B78" s="356" t="s">
        <v>1</v>
      </c>
      <c r="C78" s="948" t="s">
        <v>656</v>
      </c>
      <c r="D78" s="948"/>
      <c r="E78" s="948"/>
      <c r="F78" s="948"/>
      <c r="G78" s="948" t="s">
        <v>34</v>
      </c>
      <c r="H78" s="948"/>
      <c r="I78" s="948"/>
      <c r="J78" s="357"/>
      <c r="K78" s="525"/>
      <c r="L78" s="393"/>
      <c r="M78" s="357"/>
      <c r="N78" s="440"/>
      <c r="O78" s="383"/>
      <c r="P78" s="384"/>
      <c r="Q78" s="385"/>
    </row>
    <row r="79" spans="1:17" s="159" customFormat="1" ht="16.5" thickBot="1" x14ac:dyDescent="0.3">
      <c r="A79" s="396"/>
      <c r="B79" s="397"/>
      <c r="C79" s="398" t="s">
        <v>19</v>
      </c>
      <c r="D79" s="399" t="s">
        <v>33</v>
      </c>
      <c r="E79" s="400" t="s">
        <v>35</v>
      </c>
      <c r="F79" s="401" t="s">
        <v>30</v>
      </c>
      <c r="G79" s="535" t="s">
        <v>14</v>
      </c>
      <c r="H79" s="400" t="s">
        <v>35</v>
      </c>
      <c r="I79" s="401" t="s">
        <v>30</v>
      </c>
      <c r="J79" s="366" t="s">
        <v>659</v>
      </c>
      <c r="K79" s="536" t="s">
        <v>38</v>
      </c>
      <c r="L79" s="404"/>
      <c r="M79" s="410"/>
      <c r="N79" s="411"/>
      <c r="O79" s="383"/>
      <c r="P79" s="384"/>
      <c r="Q79" s="385"/>
    </row>
    <row r="80" spans="1:17" s="159" customFormat="1" x14ac:dyDescent="0.2">
      <c r="A80" s="407"/>
      <c r="B80" s="408"/>
      <c r="C80" s="373"/>
      <c r="D80" s="374" t="s">
        <v>21</v>
      </c>
      <c r="E80" s="255">
        <v>0</v>
      </c>
      <c r="F80" s="375">
        <f>C80*E80</f>
        <v>0</v>
      </c>
      <c r="G80" s="531"/>
      <c r="H80" s="377">
        <v>0</v>
      </c>
      <c r="I80" s="375">
        <f>G80*H80</f>
        <v>0</v>
      </c>
      <c r="J80" s="378"/>
      <c r="K80" s="532">
        <f>F80+I80+J80</f>
        <v>0</v>
      </c>
      <c r="M80" s="276"/>
      <c r="O80" s="383"/>
      <c r="P80" s="384"/>
      <c r="Q80" s="385"/>
    </row>
    <row r="81" spans="1:17" s="159" customFormat="1" x14ac:dyDescent="0.2">
      <c r="A81" s="372"/>
      <c r="B81" s="5"/>
      <c r="C81" s="373"/>
      <c r="D81" s="374" t="s">
        <v>21</v>
      </c>
      <c r="E81" s="255">
        <v>0</v>
      </c>
      <c r="F81" s="375">
        <f>C81*E81</f>
        <v>0</v>
      </c>
      <c r="G81" s="531"/>
      <c r="H81" s="377">
        <v>0</v>
      </c>
      <c r="I81" s="375">
        <f>G81*H81</f>
        <v>0</v>
      </c>
      <c r="J81" s="378"/>
      <c r="K81" s="532">
        <f>F81+I81+J81</f>
        <v>0</v>
      </c>
      <c r="M81" s="276"/>
      <c r="O81" s="383"/>
      <c r="P81" s="384"/>
      <c r="Q81" s="385"/>
    </row>
    <row r="82" spans="1:17" s="159" customFormat="1" x14ac:dyDescent="0.2">
      <c r="A82" s="372"/>
      <c r="C82" s="373"/>
      <c r="D82" s="374" t="s">
        <v>21</v>
      </c>
      <c r="E82" s="255">
        <v>0</v>
      </c>
      <c r="F82" s="375">
        <f>C82*E82</f>
        <v>0</v>
      </c>
      <c r="G82" s="531"/>
      <c r="H82" s="377">
        <v>0</v>
      </c>
      <c r="I82" s="375">
        <f>G82*H82</f>
        <v>0</v>
      </c>
      <c r="J82" s="378"/>
      <c r="K82" s="532">
        <f>F82+I82+J82</f>
        <v>0</v>
      </c>
      <c r="M82" s="278"/>
      <c r="N82" s="157"/>
      <c r="O82" s="383"/>
      <c r="P82" s="384"/>
      <c r="Q82" s="385"/>
    </row>
    <row r="83" spans="1:17" s="159" customFormat="1" x14ac:dyDescent="0.2">
      <c r="A83" s="372"/>
      <c r="B83" s="5"/>
      <c r="C83" s="373"/>
      <c r="D83" s="374" t="s">
        <v>21</v>
      </c>
      <c r="E83" s="255">
        <v>0</v>
      </c>
      <c r="F83" s="375">
        <f>C83*E83</f>
        <v>0</v>
      </c>
      <c r="G83" s="531"/>
      <c r="H83" s="377">
        <v>0</v>
      </c>
      <c r="I83" s="375">
        <f>G83*H83</f>
        <v>0</v>
      </c>
      <c r="J83" s="378"/>
      <c r="K83" s="532">
        <f>F83+I83+J83</f>
        <v>0</v>
      </c>
      <c r="M83" s="278"/>
      <c r="N83" s="157"/>
      <c r="O83" s="383"/>
      <c r="P83" s="384"/>
      <c r="Q83" s="385"/>
    </row>
    <row r="84" spans="1:17" s="159" customFormat="1" x14ac:dyDescent="0.2">
      <c r="A84" s="372"/>
      <c r="B84" s="5"/>
      <c r="C84" s="373"/>
      <c r="D84" s="374" t="s">
        <v>21</v>
      </c>
      <c r="E84" s="255">
        <v>0</v>
      </c>
      <c r="F84" s="375">
        <f>C84*E84</f>
        <v>0</v>
      </c>
      <c r="G84" s="531"/>
      <c r="H84" s="377">
        <v>0</v>
      </c>
      <c r="I84" s="375">
        <f>G84*H84</f>
        <v>0</v>
      </c>
      <c r="J84" s="378"/>
      <c r="K84" s="532">
        <f>F84+I84+J84</f>
        <v>0</v>
      </c>
      <c r="M84" s="276"/>
      <c r="O84" s="383"/>
      <c r="P84" s="384"/>
      <c r="Q84" s="385"/>
    </row>
    <row r="85" spans="1:17" s="159" customFormat="1" ht="13.5" thickBot="1" x14ac:dyDescent="0.25">
      <c r="A85" s="389"/>
      <c r="B85" s="5"/>
      <c r="C85" s="390"/>
      <c r="D85" s="374"/>
      <c r="E85" s="255"/>
      <c r="F85" s="375"/>
      <c r="G85" s="531"/>
      <c r="H85" s="377"/>
      <c r="I85" s="375"/>
      <c r="J85" s="378"/>
      <c r="K85" s="537"/>
      <c r="M85" s="276"/>
      <c r="O85" s="383"/>
      <c r="P85" s="384"/>
      <c r="Q85" s="385"/>
    </row>
    <row r="86" spans="1:17" s="159" customFormat="1" ht="13.5" thickTop="1" x14ac:dyDescent="0.2">
      <c r="A86" s="389"/>
      <c r="B86" s="414"/>
      <c r="C86" s="390"/>
      <c r="D86" s="374"/>
      <c r="E86" s="255"/>
      <c r="F86" s="375"/>
      <c r="G86" s="531"/>
      <c r="H86" s="377"/>
      <c r="I86" s="375"/>
      <c r="J86" s="391" t="s">
        <v>30</v>
      </c>
      <c r="K86" s="534">
        <f>SUM(K80:K85)</f>
        <v>0</v>
      </c>
      <c r="M86" s="276"/>
      <c r="O86" s="383"/>
      <c r="P86" s="384"/>
      <c r="Q86" s="385"/>
    </row>
    <row r="87" spans="1:17" s="159" customFormat="1" ht="13.5" thickBot="1" x14ac:dyDescent="0.25">
      <c r="A87" s="355" t="s">
        <v>0</v>
      </c>
      <c r="B87" s="356" t="s">
        <v>1</v>
      </c>
      <c r="C87" s="948" t="s">
        <v>656</v>
      </c>
      <c r="D87" s="948"/>
      <c r="E87" s="948"/>
      <c r="F87" s="948"/>
      <c r="G87" s="948" t="s">
        <v>34</v>
      </c>
      <c r="H87" s="948"/>
      <c r="I87" s="948"/>
      <c r="J87" s="357"/>
      <c r="K87" s="525"/>
      <c r="L87" s="393"/>
      <c r="M87" s="394"/>
      <c r="N87" s="395"/>
      <c r="O87" s="383"/>
      <c r="P87" s="384"/>
      <c r="Q87" s="385"/>
    </row>
    <row r="88" spans="1:17" s="159" customFormat="1" ht="16.5" thickBot="1" x14ac:dyDescent="0.3">
      <c r="A88" s="396"/>
      <c r="B88" s="397"/>
      <c r="C88" s="398" t="s">
        <v>19</v>
      </c>
      <c r="D88" s="399" t="s">
        <v>33</v>
      </c>
      <c r="E88" s="400" t="s">
        <v>35</v>
      </c>
      <c r="F88" s="401" t="s">
        <v>30</v>
      </c>
      <c r="G88" s="535" t="s">
        <v>14</v>
      </c>
      <c r="H88" s="400" t="s">
        <v>35</v>
      </c>
      <c r="I88" s="401" t="s">
        <v>30</v>
      </c>
      <c r="J88" s="366" t="s">
        <v>659</v>
      </c>
      <c r="K88" s="536" t="s">
        <v>38</v>
      </c>
      <c r="L88" s="404"/>
      <c r="M88" s="405"/>
      <c r="N88" s="406"/>
      <c r="O88" s="383"/>
      <c r="P88" s="384"/>
      <c r="Q88" s="385"/>
    </row>
    <row r="89" spans="1:17" s="159" customFormat="1" x14ac:dyDescent="0.2">
      <c r="A89" s="407"/>
      <c r="B89" s="408"/>
      <c r="C89" s="373"/>
      <c r="D89" s="374" t="s">
        <v>21</v>
      </c>
      <c r="E89" s="255">
        <v>0</v>
      </c>
      <c r="F89" s="375">
        <f>C89*E89</f>
        <v>0</v>
      </c>
      <c r="G89" s="531"/>
      <c r="H89" s="377">
        <v>0</v>
      </c>
      <c r="I89" s="375">
        <f>G89*H89</f>
        <v>0</v>
      </c>
      <c r="J89" s="378"/>
      <c r="K89" s="532">
        <f>F89+I89+J89</f>
        <v>0</v>
      </c>
      <c r="M89" s="276"/>
      <c r="O89" s="383"/>
      <c r="P89" s="384"/>
      <c r="Q89" s="385"/>
    </row>
    <row r="90" spans="1:17" s="159" customFormat="1" x14ac:dyDescent="0.2">
      <c r="A90" s="372"/>
      <c r="B90" s="5"/>
      <c r="C90" s="373"/>
      <c r="D90" s="374" t="s">
        <v>21</v>
      </c>
      <c r="E90" s="255">
        <v>0</v>
      </c>
      <c r="F90" s="375">
        <f>C90*E90</f>
        <v>0</v>
      </c>
      <c r="G90" s="531"/>
      <c r="H90" s="377">
        <v>0</v>
      </c>
      <c r="I90" s="375">
        <f>G90*H90</f>
        <v>0</v>
      </c>
      <c r="J90" s="378"/>
      <c r="K90" s="532">
        <f>F90+I90+J90</f>
        <v>0</v>
      </c>
      <c r="L90" s="538"/>
      <c r="M90" s="576"/>
      <c r="N90" s="539"/>
      <c r="O90" s="383"/>
      <c r="P90" s="384"/>
      <c r="Q90" s="385"/>
    </row>
    <row r="91" spans="1:17" s="159" customFormat="1" x14ac:dyDescent="0.2">
      <c r="A91" s="372"/>
      <c r="B91" s="5"/>
      <c r="C91" s="373"/>
      <c r="D91" s="374" t="s">
        <v>21</v>
      </c>
      <c r="E91" s="255">
        <v>0</v>
      </c>
      <c r="F91" s="375">
        <f>C91*E91</f>
        <v>0</v>
      </c>
      <c r="G91" s="531"/>
      <c r="H91" s="377">
        <v>0</v>
      </c>
      <c r="I91" s="375">
        <f>G91*H91</f>
        <v>0</v>
      </c>
      <c r="J91" s="378"/>
      <c r="K91" s="532">
        <f>F91+I91+J91</f>
        <v>0</v>
      </c>
      <c r="L91" s="540"/>
      <c r="M91" s="466"/>
      <c r="N91" s="541"/>
      <c r="O91" s="383"/>
      <c r="P91" s="384"/>
      <c r="Q91" s="385"/>
    </row>
    <row r="92" spans="1:17" s="159" customFormat="1" x14ac:dyDescent="0.2">
      <c r="A92" s="372"/>
      <c r="B92" s="5"/>
      <c r="C92" s="373"/>
      <c r="D92" s="374" t="s">
        <v>21</v>
      </c>
      <c r="E92" s="255">
        <v>0</v>
      </c>
      <c r="F92" s="375">
        <f>C92*E92</f>
        <v>0</v>
      </c>
      <c r="G92" s="531"/>
      <c r="H92" s="377">
        <v>0</v>
      </c>
      <c r="I92" s="375">
        <f>G92*H92</f>
        <v>0</v>
      </c>
      <c r="J92" s="378"/>
      <c r="K92" s="532">
        <f>F92+I92+J92</f>
        <v>0</v>
      </c>
      <c r="L92" s="669"/>
      <c r="M92" s="670"/>
      <c r="N92" s="672"/>
      <c r="O92" s="383"/>
      <c r="P92" s="384"/>
      <c r="Q92" s="385"/>
    </row>
    <row r="93" spans="1:17" s="159" customFormat="1" ht="13.5" thickBot="1" x14ac:dyDescent="0.25">
      <c r="A93" s="389"/>
      <c r="B93" s="414"/>
      <c r="C93" s="373"/>
      <c r="D93" s="374"/>
      <c r="E93" s="255"/>
      <c r="F93" s="375"/>
      <c r="G93" s="531"/>
      <c r="H93" s="377"/>
      <c r="I93" s="375"/>
      <c r="J93" s="378"/>
      <c r="K93" s="532"/>
      <c r="L93" s="669"/>
      <c r="M93" s="670"/>
      <c r="N93" s="672"/>
      <c r="O93" s="383"/>
      <c r="P93" s="384"/>
      <c r="Q93" s="385"/>
    </row>
    <row r="94" spans="1:17" s="159" customFormat="1" ht="14.25" thickTop="1" thickBot="1" x14ac:dyDescent="0.25">
      <c r="A94" s="472"/>
      <c r="B94" s="156"/>
      <c r="C94" s="473"/>
      <c r="D94" s="474"/>
      <c r="E94" s="475"/>
      <c r="F94" s="476"/>
      <c r="G94" s="636"/>
      <c r="H94" s="475"/>
      <c r="I94" s="476"/>
      <c r="J94" s="478" t="s">
        <v>30</v>
      </c>
      <c r="K94" s="637">
        <f>SUM(K89:K93)</f>
        <v>0</v>
      </c>
      <c r="L94" s="673"/>
      <c r="M94" s="674"/>
      <c r="N94" s="675"/>
      <c r="O94" s="462"/>
      <c r="P94" s="463"/>
      <c r="Q94" s="464"/>
    </row>
    <row r="95" spans="1:17" s="159" customFormat="1" ht="14.1" customHeight="1" thickTop="1" x14ac:dyDescent="0.25">
      <c r="A95" s="480"/>
      <c r="B95" s="481"/>
      <c r="C95" s="482"/>
      <c r="D95" s="482"/>
      <c r="E95" s="483"/>
      <c r="F95" s="978" t="s">
        <v>658</v>
      </c>
      <c r="G95" s="1001" t="s">
        <v>682</v>
      </c>
      <c r="H95" s="483"/>
      <c r="I95" s="971" t="s">
        <v>657</v>
      </c>
      <c r="J95" s="967" t="s">
        <v>683</v>
      </c>
      <c r="K95" s="1003" t="s">
        <v>31</v>
      </c>
      <c r="L95" s="808"/>
      <c r="M95" s="577"/>
      <c r="N95" s="546"/>
      <c r="O95" s="547"/>
      <c r="P95" s="547"/>
      <c r="Q95" s="548"/>
    </row>
    <row r="96" spans="1:17" s="159" customFormat="1" ht="15" x14ac:dyDescent="0.2">
      <c r="A96" s="484" t="s">
        <v>32</v>
      </c>
      <c r="B96" s="973" t="s">
        <v>670</v>
      </c>
      <c r="C96" s="485"/>
      <c r="D96" s="486"/>
      <c r="E96" s="486"/>
      <c r="F96" s="979"/>
      <c r="G96" s="1002"/>
      <c r="H96" s="487"/>
      <c r="I96" s="972"/>
      <c r="J96" s="968"/>
      <c r="K96" s="1004"/>
      <c r="L96" s="809"/>
      <c r="M96" s="263"/>
      <c r="O96" s="550"/>
      <c r="P96" s="550"/>
      <c r="Q96" s="551"/>
    </row>
    <row r="97" spans="1:17" s="159" customFormat="1" ht="15" x14ac:dyDescent="0.25">
      <c r="A97" s="488">
        <f>K97/E6</f>
        <v>0</v>
      </c>
      <c r="B97" s="973"/>
      <c r="C97" s="486"/>
      <c r="D97" s="486"/>
      <c r="E97" s="486"/>
      <c r="F97" s="961">
        <f>SUM(F89:F93,F80:F85,F73:F76,F64:F69,F53:F60,F44:F49,F36:F40,F24:F32,F11:F20)</f>
        <v>0</v>
      </c>
      <c r="G97" s="1006">
        <f>SUM(G89:G93,G80:G85,G73:G76,G64:G69,G53:G60,G44:G49,G36:G40,G25:G32,G11:G20)</f>
        <v>0</v>
      </c>
      <c r="H97" s="487"/>
      <c r="I97" s="961">
        <f>SUM(I89:I93,I80:I85,I73:I76,I64:I69,I53:I60,I44:I49,I36:I40,I25:I32,I11:I20)</f>
        <v>0</v>
      </c>
      <c r="J97" s="961">
        <f>SUM(J89:J93,J80:J85,J73:J76,J64:J69,J53:J60,J44:J49,J36:J40,J24:J32,J11:J20)</f>
        <v>0</v>
      </c>
      <c r="K97" s="969">
        <f>SUM(K94,K86,K77,K70,K61,K50,K41,K33,K21)</f>
        <v>0</v>
      </c>
      <c r="L97" s="809"/>
      <c r="M97" s="263"/>
      <c r="O97" s="550"/>
      <c r="P97" s="550"/>
      <c r="Q97" s="551"/>
    </row>
    <row r="98" spans="1:17" s="159" customFormat="1" ht="15" thickBot="1" x14ac:dyDescent="0.25">
      <c r="A98" s="484"/>
      <c r="B98" s="552"/>
      <c r="C98" s="490"/>
      <c r="D98" s="490"/>
      <c r="E98" s="490"/>
      <c r="F98" s="962"/>
      <c r="G98" s="1007"/>
      <c r="H98" s="490"/>
      <c r="I98" s="962"/>
      <c r="J98" s="962"/>
      <c r="K98" s="970"/>
      <c r="L98" s="809"/>
      <c r="M98" s="263"/>
      <c r="O98" s="550"/>
      <c r="P98" s="550"/>
      <c r="Q98" s="551"/>
    </row>
    <row r="99" spans="1:17" s="159" customFormat="1" ht="13.5" thickBot="1" x14ac:dyDescent="0.25">
      <c r="A99" s="491"/>
      <c r="B99" s="492"/>
      <c r="C99" s="492"/>
      <c r="D99" s="492"/>
      <c r="E99" s="492"/>
      <c r="F99" s="492"/>
      <c r="G99" s="492"/>
      <c r="H99" s="492"/>
      <c r="I99" s="492"/>
      <c r="J99" s="492"/>
      <c r="K99" s="492"/>
      <c r="L99" s="809"/>
      <c r="M99" s="263"/>
      <c r="O99" s="550"/>
      <c r="P99" s="550"/>
      <c r="Q99" s="551"/>
    </row>
    <row r="100" spans="1:17" s="159" customFormat="1" x14ac:dyDescent="0.2">
      <c r="C100" s="657"/>
      <c r="D100" s="657"/>
      <c r="J100" s="276"/>
      <c r="M100" s="223"/>
      <c r="N100" s="157"/>
      <c r="O100" s="550"/>
      <c r="P100" s="550"/>
      <c r="Q100" s="551"/>
    </row>
    <row r="101" spans="1:17" s="159" customFormat="1" x14ac:dyDescent="0.2">
      <c r="C101" s="657"/>
      <c r="D101" s="657"/>
      <c r="J101" s="276"/>
      <c r="M101" s="276"/>
    </row>
    <row r="102" spans="1:17" s="159" customFormat="1" x14ac:dyDescent="0.2">
      <c r="C102" s="657"/>
      <c r="D102" s="657"/>
      <c r="J102" s="276"/>
      <c r="M102" s="276"/>
    </row>
    <row r="103" spans="1:17" s="159" customFormat="1" x14ac:dyDescent="0.2">
      <c r="C103" s="657"/>
      <c r="D103" s="657"/>
      <c r="J103" s="276"/>
      <c r="M103" s="276"/>
    </row>
    <row r="104" spans="1:17" s="159" customFormat="1" x14ac:dyDescent="0.2">
      <c r="C104" s="657"/>
      <c r="D104" s="657"/>
      <c r="J104" s="276"/>
      <c r="M104" s="276"/>
    </row>
    <row r="105" spans="1:17" s="159" customFormat="1" x14ac:dyDescent="0.2">
      <c r="C105" s="657"/>
      <c r="D105" s="657"/>
      <c r="J105" s="276"/>
      <c r="M105" s="276"/>
    </row>
    <row r="106" spans="1:17" s="159" customFormat="1" x14ac:dyDescent="0.2">
      <c r="C106" s="657"/>
      <c r="D106" s="657"/>
      <c r="J106" s="276"/>
      <c r="M106" s="276"/>
    </row>
    <row r="107" spans="1:17" s="159" customFormat="1" x14ac:dyDescent="0.2">
      <c r="C107" s="657"/>
      <c r="D107" s="657"/>
      <c r="J107" s="276"/>
      <c r="M107" s="276"/>
    </row>
    <row r="108" spans="1:17" s="159" customFormat="1" x14ac:dyDescent="0.2">
      <c r="C108" s="657"/>
      <c r="D108" s="657"/>
      <c r="J108" s="276"/>
      <c r="M108" s="276"/>
    </row>
    <row r="109" spans="1:17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1:17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1:17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1:17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  <row r="235" spans="3:16" s="159" customFormat="1" x14ac:dyDescent="0.2">
      <c r="C235" s="657"/>
      <c r="D235" s="657"/>
      <c r="J235" s="276"/>
      <c r="M235" s="278"/>
      <c r="N235" s="157"/>
      <c r="O235" s="304"/>
      <c r="P235" s="304"/>
    </row>
    <row r="236" spans="3:16" s="159" customFormat="1" x14ac:dyDescent="0.2">
      <c r="C236" s="657"/>
      <c r="D236" s="657"/>
      <c r="J236" s="276"/>
      <c r="M236" s="278"/>
      <c r="N236" s="157"/>
      <c r="O236" s="304"/>
      <c r="P236" s="304"/>
    </row>
    <row r="237" spans="3:16" s="159" customFormat="1" x14ac:dyDescent="0.2">
      <c r="C237" s="657"/>
      <c r="D237" s="657"/>
      <c r="J237" s="276"/>
      <c r="M237" s="278"/>
      <c r="N237" s="157"/>
      <c r="O237" s="304"/>
      <c r="P237" s="304"/>
    </row>
    <row r="238" spans="3:16" s="159" customFormat="1" x14ac:dyDescent="0.2">
      <c r="C238" s="657"/>
      <c r="D238" s="657"/>
      <c r="J238" s="276"/>
      <c r="M238" s="278"/>
      <c r="N238" s="157"/>
      <c r="O238" s="304"/>
      <c r="P238" s="304"/>
    </row>
    <row r="239" spans="3:16" s="159" customFormat="1" x14ac:dyDescent="0.2">
      <c r="C239" s="657"/>
      <c r="D239" s="657"/>
      <c r="J239" s="276"/>
      <c r="M239" s="278"/>
      <c r="N239" s="157"/>
      <c r="O239" s="304"/>
      <c r="P239" s="304"/>
    </row>
    <row r="240" spans="3:16" s="159" customFormat="1" x14ac:dyDescent="0.2">
      <c r="C240" s="657"/>
      <c r="D240" s="657"/>
      <c r="J240" s="276"/>
      <c r="M240" s="278"/>
      <c r="N240" s="157"/>
      <c r="O240" s="304"/>
      <c r="P240" s="304"/>
    </row>
    <row r="241" spans="3:16" s="159" customFormat="1" x14ac:dyDescent="0.2">
      <c r="C241" s="657"/>
      <c r="D241" s="657"/>
      <c r="J241" s="276"/>
      <c r="M241" s="278"/>
      <c r="N241" s="157"/>
      <c r="O241" s="304"/>
      <c r="P241" s="304"/>
    </row>
    <row r="242" spans="3:16" s="159" customFormat="1" x14ac:dyDescent="0.2">
      <c r="C242" s="657"/>
      <c r="D242" s="657"/>
      <c r="J242" s="276"/>
      <c r="M242" s="278"/>
      <c r="N242" s="157"/>
      <c r="O242" s="304"/>
      <c r="P242" s="304"/>
    </row>
    <row r="243" spans="3:16" s="159" customFormat="1" x14ac:dyDescent="0.2">
      <c r="C243" s="657"/>
      <c r="D243" s="657"/>
      <c r="J243" s="276"/>
      <c r="M243" s="278"/>
      <c r="N243" s="157"/>
      <c r="O243" s="304"/>
      <c r="P243" s="304"/>
    </row>
    <row r="244" spans="3:16" s="159" customFormat="1" x14ac:dyDescent="0.2">
      <c r="C244" s="657"/>
      <c r="D244" s="657"/>
      <c r="J244" s="276"/>
      <c r="M244" s="278"/>
      <c r="N244" s="157"/>
      <c r="O244" s="304"/>
      <c r="P244" s="304"/>
    </row>
    <row r="245" spans="3:16" s="159" customFormat="1" x14ac:dyDescent="0.2">
      <c r="C245" s="657"/>
      <c r="D245" s="657"/>
      <c r="J245" s="276"/>
      <c r="M245" s="278"/>
      <c r="N245" s="157"/>
      <c r="O245" s="304"/>
      <c r="P245" s="304"/>
    </row>
    <row r="246" spans="3:16" s="159" customFormat="1" x14ac:dyDescent="0.2">
      <c r="C246" s="657"/>
      <c r="D246" s="657"/>
      <c r="J246" s="276"/>
      <c r="M246" s="278"/>
      <c r="N246" s="157"/>
      <c r="O246" s="304"/>
      <c r="P246" s="304"/>
    </row>
    <row r="247" spans="3:16" s="159" customFormat="1" x14ac:dyDescent="0.2">
      <c r="C247" s="657"/>
      <c r="D247" s="657"/>
      <c r="J247" s="276"/>
      <c r="M247" s="278"/>
      <c r="N247" s="157"/>
      <c r="O247" s="304"/>
      <c r="P247" s="304"/>
    </row>
    <row r="248" spans="3:16" s="159" customFormat="1" x14ac:dyDescent="0.2">
      <c r="C248" s="657"/>
      <c r="D248" s="657"/>
      <c r="J248" s="276"/>
      <c r="M248" s="278"/>
      <c r="N248" s="157"/>
      <c r="O248" s="304"/>
      <c r="P248" s="304"/>
    </row>
    <row r="249" spans="3:16" s="159" customFormat="1" x14ac:dyDescent="0.2">
      <c r="C249" s="657"/>
      <c r="D249" s="657"/>
      <c r="J249" s="276"/>
      <c r="M249" s="278"/>
      <c r="N249" s="157"/>
      <c r="O249" s="304"/>
      <c r="P249" s="304"/>
    </row>
    <row r="250" spans="3:16" s="159" customFormat="1" x14ac:dyDescent="0.2">
      <c r="C250" s="657"/>
      <c r="D250" s="657"/>
      <c r="J250" s="276"/>
      <c r="M250" s="278"/>
      <c r="N250" s="157"/>
      <c r="O250" s="304"/>
      <c r="P250" s="304"/>
    </row>
    <row r="251" spans="3:16" s="159" customFormat="1" x14ac:dyDescent="0.2">
      <c r="C251" s="657"/>
      <c r="D251" s="657"/>
      <c r="J251" s="276"/>
      <c r="M251" s="278"/>
      <c r="N251" s="157"/>
      <c r="O251" s="304"/>
      <c r="P251" s="304"/>
    </row>
    <row r="252" spans="3:16" s="159" customFormat="1" x14ac:dyDescent="0.2">
      <c r="C252" s="657"/>
      <c r="D252" s="657"/>
      <c r="J252" s="276"/>
      <c r="M252" s="278"/>
      <c r="N252" s="157"/>
      <c r="O252" s="304"/>
      <c r="P252" s="304"/>
    </row>
    <row r="253" spans="3:16" s="159" customFormat="1" x14ac:dyDescent="0.2">
      <c r="C253" s="657"/>
      <c r="D253" s="657"/>
      <c r="J253" s="276"/>
      <c r="M253" s="278"/>
      <c r="N253" s="157"/>
      <c r="O253" s="304"/>
      <c r="P253" s="304"/>
    </row>
    <row r="254" spans="3:16" s="159" customFormat="1" x14ac:dyDescent="0.2">
      <c r="C254" s="657"/>
      <c r="D254" s="657"/>
      <c r="J254" s="276"/>
      <c r="M254" s="278"/>
      <c r="N254" s="157"/>
      <c r="O254" s="304"/>
      <c r="P254" s="304"/>
    </row>
    <row r="255" spans="3:16" s="159" customFormat="1" x14ac:dyDescent="0.2">
      <c r="C255" s="657"/>
      <c r="D255" s="657"/>
      <c r="J255" s="276"/>
      <c r="M255" s="278"/>
      <c r="N255" s="157"/>
      <c r="O255" s="304"/>
      <c r="P255" s="304"/>
    </row>
    <row r="256" spans="3:16" s="159" customFormat="1" x14ac:dyDescent="0.2">
      <c r="C256" s="657"/>
      <c r="D256" s="657"/>
      <c r="J256" s="276"/>
      <c r="M256" s="278"/>
      <c r="N256" s="157"/>
      <c r="O256" s="304"/>
      <c r="P256" s="304"/>
    </row>
    <row r="257" spans="3:16" s="159" customFormat="1" x14ac:dyDescent="0.2">
      <c r="C257" s="657"/>
      <c r="D257" s="657"/>
      <c r="J257" s="276"/>
      <c r="M257" s="278"/>
      <c r="N257" s="157"/>
      <c r="O257" s="304"/>
      <c r="P257" s="304"/>
    </row>
    <row r="258" spans="3:16" s="159" customFormat="1" x14ac:dyDescent="0.2">
      <c r="C258" s="657"/>
      <c r="D258" s="657"/>
      <c r="J258" s="276"/>
      <c r="M258" s="278"/>
      <c r="N258" s="157"/>
      <c r="O258" s="304"/>
      <c r="P258" s="304"/>
    </row>
    <row r="259" spans="3:16" s="159" customFormat="1" x14ac:dyDescent="0.2">
      <c r="C259" s="657"/>
      <c r="D259" s="657"/>
      <c r="J259" s="276"/>
      <c r="M259" s="278"/>
      <c r="N259" s="157"/>
      <c r="O259" s="304"/>
      <c r="P259" s="304"/>
    </row>
    <row r="260" spans="3:16" s="159" customFormat="1" x14ac:dyDescent="0.2">
      <c r="C260" s="657"/>
      <c r="D260" s="657"/>
      <c r="J260" s="276"/>
      <c r="M260" s="278"/>
      <c r="N260" s="157"/>
      <c r="O260" s="304"/>
      <c r="P260" s="304"/>
    </row>
    <row r="261" spans="3:16" s="159" customFormat="1" x14ac:dyDescent="0.2">
      <c r="C261" s="657"/>
      <c r="D261" s="657"/>
      <c r="J261" s="276"/>
      <c r="M261" s="278"/>
      <c r="N261" s="157"/>
      <c r="O261" s="304"/>
      <c r="P261" s="304"/>
    </row>
    <row r="262" spans="3:16" s="159" customFormat="1" x14ac:dyDescent="0.2">
      <c r="C262" s="657"/>
      <c r="D262" s="657"/>
      <c r="J262" s="276"/>
      <c r="M262" s="278"/>
      <c r="N262" s="157"/>
      <c r="O262" s="304"/>
      <c r="P262" s="304"/>
    </row>
    <row r="263" spans="3:16" s="159" customFormat="1" x14ac:dyDescent="0.2">
      <c r="C263" s="657"/>
      <c r="D263" s="657"/>
      <c r="J263" s="276"/>
      <c r="M263" s="278"/>
      <c r="N263" s="157"/>
      <c r="O263" s="304"/>
      <c r="P263" s="304"/>
    </row>
    <row r="264" spans="3:16" s="159" customFormat="1" x14ac:dyDescent="0.2">
      <c r="C264" s="657"/>
      <c r="D264" s="657"/>
      <c r="J264" s="276"/>
      <c r="M264" s="278"/>
      <c r="N264" s="157"/>
      <c r="O264" s="304"/>
      <c r="P264" s="304"/>
    </row>
    <row r="265" spans="3:16" s="159" customFormat="1" x14ac:dyDescent="0.2">
      <c r="C265" s="657"/>
      <c r="D265" s="657"/>
      <c r="J265" s="276"/>
      <c r="M265" s="278"/>
      <c r="N265" s="157"/>
      <c r="O265" s="304"/>
      <c r="P265" s="304"/>
    </row>
    <row r="266" spans="3:16" s="159" customFormat="1" x14ac:dyDescent="0.2">
      <c r="C266" s="657"/>
      <c r="D266" s="657"/>
      <c r="J266" s="276"/>
      <c r="M266" s="278"/>
      <c r="N266" s="157"/>
      <c r="O266" s="304"/>
      <c r="P266" s="304"/>
    </row>
    <row r="267" spans="3:16" s="159" customFormat="1" x14ac:dyDescent="0.2">
      <c r="C267" s="657"/>
      <c r="D267" s="657"/>
      <c r="J267" s="276"/>
      <c r="M267" s="278"/>
      <c r="N267" s="157"/>
      <c r="O267" s="304"/>
      <c r="P267" s="304"/>
    </row>
    <row r="268" spans="3:16" s="159" customFormat="1" x14ac:dyDescent="0.2">
      <c r="C268" s="657"/>
      <c r="D268" s="657"/>
      <c r="J268" s="276"/>
      <c r="M268" s="278"/>
      <c r="N268" s="157"/>
      <c r="O268" s="304"/>
      <c r="P268" s="304"/>
    </row>
    <row r="269" spans="3:16" s="159" customFormat="1" x14ac:dyDescent="0.2">
      <c r="C269" s="657"/>
      <c r="D269" s="657"/>
      <c r="J269" s="276"/>
      <c r="M269" s="278"/>
      <c r="N269" s="157"/>
      <c r="O269" s="304"/>
      <c r="P269" s="304"/>
    </row>
    <row r="270" spans="3:16" s="159" customFormat="1" x14ac:dyDescent="0.2">
      <c r="C270" s="657"/>
      <c r="D270" s="657"/>
      <c r="J270" s="276"/>
      <c r="M270" s="278"/>
      <c r="N270" s="157"/>
      <c r="O270" s="304"/>
      <c r="P270" s="304"/>
    </row>
    <row r="271" spans="3:16" s="159" customFormat="1" x14ac:dyDescent="0.2">
      <c r="C271" s="657"/>
      <c r="D271" s="657"/>
      <c r="J271" s="276"/>
      <c r="M271" s="278"/>
      <c r="N271" s="157"/>
      <c r="O271" s="304"/>
      <c r="P271" s="304"/>
    </row>
    <row r="272" spans="3:16" s="159" customFormat="1" x14ac:dyDescent="0.2">
      <c r="C272" s="657"/>
      <c r="D272" s="657"/>
      <c r="J272" s="276"/>
      <c r="M272" s="278"/>
      <c r="N272" s="157"/>
      <c r="O272" s="304"/>
      <c r="P272" s="304"/>
    </row>
    <row r="273" spans="3:16" s="159" customFormat="1" x14ac:dyDescent="0.2">
      <c r="C273" s="657"/>
      <c r="D273" s="657"/>
      <c r="J273" s="276"/>
      <c r="M273" s="278"/>
      <c r="N273" s="157"/>
      <c r="O273" s="304"/>
      <c r="P273" s="304"/>
    </row>
    <row r="274" spans="3:16" s="159" customFormat="1" x14ac:dyDescent="0.2">
      <c r="C274" s="657"/>
      <c r="D274" s="657"/>
      <c r="J274" s="276"/>
      <c r="M274" s="278"/>
      <c r="N274" s="157"/>
      <c r="O274" s="304"/>
      <c r="P274" s="304"/>
    </row>
    <row r="275" spans="3:16" s="159" customFormat="1" x14ac:dyDescent="0.2">
      <c r="C275" s="657"/>
      <c r="D275" s="657"/>
      <c r="J275" s="276"/>
      <c r="M275" s="278"/>
      <c r="N275" s="157"/>
      <c r="O275" s="304"/>
      <c r="P275" s="304"/>
    </row>
    <row r="276" spans="3:16" s="159" customFormat="1" x14ac:dyDescent="0.2">
      <c r="C276" s="657"/>
      <c r="D276" s="657"/>
      <c r="J276" s="276"/>
      <c r="M276" s="278"/>
      <c r="N276" s="157"/>
      <c r="O276" s="304"/>
      <c r="P276" s="304"/>
    </row>
    <row r="277" spans="3:16" s="159" customFormat="1" x14ac:dyDescent="0.2">
      <c r="C277" s="657"/>
      <c r="D277" s="657"/>
      <c r="J277" s="276"/>
      <c r="M277" s="278"/>
      <c r="N277" s="157"/>
      <c r="O277" s="304"/>
      <c r="P277" s="304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2:F22"/>
    <mergeCell ref="G22:I22"/>
    <mergeCell ref="C34:F34"/>
    <mergeCell ref="G34:I34"/>
    <mergeCell ref="C42:F42"/>
    <mergeCell ref="G42:I42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topLeftCell="A31" zoomScale="90" zoomScaleNormal="75" zoomScaleSheetLayoutView="90" zoomScalePageLayoutView="75" workbookViewId="0">
      <selection activeCell="A57" sqref="A57"/>
    </sheetView>
  </sheetViews>
  <sheetFormatPr defaultColWidth="9.140625" defaultRowHeight="12.75" x14ac:dyDescent="0.2"/>
  <cols>
    <col min="1" max="1" width="12.140625" style="157" bestFit="1" customWidth="1"/>
    <col min="2" max="2" width="52.42578125" style="157" bestFit="1" customWidth="1"/>
    <col min="3" max="4" width="5" style="442" customWidth="1"/>
    <col min="5" max="5" width="10.85546875" style="157" bestFit="1" customWidth="1"/>
    <col min="6" max="6" width="12.5703125" style="157" bestFit="1" customWidth="1"/>
    <col min="7" max="7" width="8" style="157" bestFit="1" customWidth="1"/>
    <col min="8" max="8" width="10.85546875" style="157" bestFit="1" customWidth="1"/>
    <col min="9" max="9" width="14.42578125" style="157" bestFit="1" customWidth="1"/>
    <col min="10" max="10" width="16.140625" style="278" bestFit="1" customWidth="1"/>
    <col min="11" max="11" width="14.42578125" style="157" bestFit="1" customWidth="1"/>
    <col min="12" max="12" width="17.85546875" style="159" bestFit="1" customWidth="1"/>
    <col min="13" max="13" width="14" style="278" bestFit="1" customWidth="1"/>
    <col min="14" max="14" width="24.85546875" style="157" bestFit="1" customWidth="1"/>
    <col min="15" max="15" width="22" style="304" bestFit="1" customWidth="1"/>
    <col min="16" max="16" width="22.140625" style="304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4"/>
      <c r="B1" s="325"/>
      <c r="C1" s="985">
        <f>'Estimate Summary'!C1:H1</f>
        <v>0</v>
      </c>
      <c r="D1" s="985"/>
      <c r="E1" s="985"/>
      <c r="F1" s="985"/>
      <c r="G1" s="985"/>
      <c r="H1" s="985"/>
      <c r="I1" s="985"/>
      <c r="J1" s="985"/>
      <c r="K1" s="986"/>
    </row>
    <row r="2" spans="1:17" ht="13.5" thickBot="1" x14ac:dyDescent="0.25">
      <c r="A2" s="326"/>
      <c r="B2" s="327"/>
      <c r="C2" s="516"/>
      <c r="D2" s="993"/>
      <c r="E2" s="993"/>
      <c r="F2" s="993"/>
      <c r="G2" s="516"/>
      <c r="H2" s="329"/>
      <c r="I2" s="330"/>
      <c r="J2" s="331"/>
      <c r="K2" s="332"/>
    </row>
    <row r="3" spans="1:17" ht="16.5" thickBot="1" x14ac:dyDescent="0.3">
      <c r="A3" s="982"/>
      <c r="B3" s="983"/>
      <c r="C3" s="516"/>
      <c r="D3" s="993"/>
      <c r="E3" s="993"/>
      <c r="F3" s="993"/>
      <c r="G3" s="517"/>
      <c r="H3" s="334"/>
      <c r="I3" s="335"/>
      <c r="J3" s="335"/>
      <c r="K3" s="336"/>
      <c r="L3" s="1011"/>
      <c r="M3" s="1012"/>
      <c r="N3" s="994"/>
      <c r="O3" s="994"/>
      <c r="P3" s="946"/>
    </row>
    <row r="4" spans="1:17" ht="18.75" thickBot="1" x14ac:dyDescent="0.25">
      <c r="A4" s="982"/>
      <c r="B4" s="983"/>
      <c r="C4" s="516"/>
      <c r="D4" s="993"/>
      <c r="E4" s="993"/>
      <c r="F4" s="993"/>
      <c r="G4" s="338"/>
      <c r="H4" s="338"/>
      <c r="I4" s="330"/>
      <c r="J4" s="331"/>
      <c r="K4" s="332"/>
      <c r="L4" s="1011"/>
      <c r="M4" s="1012"/>
      <c r="N4" s="994"/>
      <c r="O4" s="994"/>
      <c r="P4" s="946"/>
    </row>
    <row r="5" spans="1:17" ht="21" thickBot="1" x14ac:dyDescent="0.3">
      <c r="A5" s="339"/>
      <c r="B5" s="340"/>
      <c r="C5" s="518"/>
      <c r="D5" s="342"/>
      <c r="E5" s="343"/>
      <c r="F5" s="338"/>
      <c r="G5" s="992" t="s">
        <v>613</v>
      </c>
      <c r="H5" s="992"/>
      <c r="I5" s="992"/>
      <c r="J5" s="990" t="s">
        <v>71</v>
      </c>
      <c r="K5" s="991"/>
      <c r="L5" s="1011"/>
      <c r="M5" s="1012"/>
      <c r="N5" s="994"/>
      <c r="O5" s="994"/>
      <c r="P5" s="946"/>
    </row>
    <row r="6" spans="1:17" ht="21" thickBot="1" x14ac:dyDescent="0.25">
      <c r="A6" s="339"/>
      <c r="B6" s="340"/>
      <c r="C6" s="519"/>
      <c r="D6" s="345" t="str">
        <f>'Estimate Summary'!C11</f>
        <v>Area:</v>
      </c>
      <c r="E6" s="346">
        <f>'Estimate Summary'!D11</f>
        <v>1747</v>
      </c>
      <c r="F6" s="240" t="str">
        <f>'Estimate Summary'!E11</f>
        <v>Sq. Ft.</v>
      </c>
      <c r="G6" s="992"/>
      <c r="H6" s="992"/>
      <c r="I6" s="992"/>
      <c r="J6" s="347">
        <f>'1'!J6</f>
        <v>13</v>
      </c>
      <c r="K6" s="332" t="s">
        <v>72</v>
      </c>
      <c r="L6" s="1011"/>
      <c r="M6" s="1012"/>
      <c r="N6" s="994"/>
      <c r="O6" s="994"/>
      <c r="P6" s="946"/>
    </row>
    <row r="7" spans="1:17" x14ac:dyDescent="0.2">
      <c r="A7" s="987"/>
      <c r="B7" s="988"/>
      <c r="C7" s="988"/>
      <c r="D7" s="988"/>
      <c r="E7" s="988"/>
      <c r="F7" s="988"/>
      <c r="G7" s="988"/>
      <c r="H7" s="988"/>
      <c r="I7" s="988"/>
      <c r="J7" s="988"/>
      <c r="K7" s="989"/>
    </row>
    <row r="8" spans="1:17" x14ac:dyDescent="0.2">
      <c r="A8" s="348"/>
      <c r="B8" s="349"/>
      <c r="C8" s="981"/>
      <c r="D8" s="981"/>
      <c r="E8" s="981"/>
      <c r="F8" s="981"/>
      <c r="G8" s="980"/>
      <c r="H8" s="980"/>
      <c r="I8" s="980"/>
      <c r="J8" s="350"/>
      <c r="K8" s="351"/>
      <c r="L8" s="520"/>
      <c r="M8" s="521"/>
      <c r="N8" s="520"/>
      <c r="O8" s="522"/>
      <c r="P8" s="522"/>
    </row>
    <row r="9" spans="1:17" x14ac:dyDescent="0.2">
      <c r="A9" s="523"/>
      <c r="B9" s="201"/>
      <c r="C9" s="1009"/>
      <c r="D9" s="1009"/>
      <c r="E9" s="1005"/>
      <c r="F9" s="1005"/>
      <c r="G9" s="1010"/>
      <c r="H9" s="1005"/>
      <c r="I9" s="1005"/>
      <c r="J9" s="1005"/>
      <c r="K9" s="1008"/>
      <c r="L9" s="470"/>
      <c r="M9" s="469"/>
      <c r="N9" s="415"/>
      <c r="O9" s="416"/>
      <c r="P9" s="416"/>
    </row>
    <row r="10" spans="1:17" ht="13.5" thickBot="1" x14ac:dyDescent="0.25">
      <c r="A10" s="403"/>
      <c r="B10" s="524"/>
      <c r="C10" s="1009"/>
      <c r="D10" s="1009"/>
      <c r="E10" s="1005"/>
      <c r="F10" s="1005"/>
      <c r="G10" s="1010"/>
      <c r="H10" s="1005"/>
      <c r="I10" s="1005"/>
      <c r="J10" s="1005"/>
      <c r="K10" s="1008"/>
      <c r="L10" s="470"/>
      <c r="M10" s="469"/>
      <c r="N10" s="415"/>
      <c r="O10" s="416"/>
      <c r="P10" s="416"/>
    </row>
    <row r="11" spans="1:17" ht="14.25" thickTop="1" thickBot="1" x14ac:dyDescent="0.25">
      <c r="A11" s="355" t="s">
        <v>0</v>
      </c>
      <c r="B11" s="356" t="s">
        <v>1</v>
      </c>
      <c r="C11" s="948" t="s">
        <v>656</v>
      </c>
      <c r="D11" s="948"/>
      <c r="E11" s="948"/>
      <c r="F11" s="948"/>
      <c r="G11" s="948" t="s">
        <v>34</v>
      </c>
      <c r="H11" s="948"/>
      <c r="I11" s="948"/>
      <c r="J11" s="357"/>
      <c r="K11" s="525"/>
      <c r="L11" s="951" t="s">
        <v>780</v>
      </c>
      <c r="M11" s="953" t="s">
        <v>781</v>
      </c>
      <c r="N11" s="955" t="s">
        <v>782</v>
      </c>
      <c r="O11" s="957"/>
      <c r="P11" s="959"/>
      <c r="Q11" s="949"/>
    </row>
    <row r="12" spans="1:17" ht="15.75" x14ac:dyDescent="0.25">
      <c r="A12" s="527" t="s">
        <v>614</v>
      </c>
      <c r="B12" s="527" t="s">
        <v>615</v>
      </c>
      <c r="C12" s="361" t="s">
        <v>19</v>
      </c>
      <c r="D12" s="362" t="s">
        <v>33</v>
      </c>
      <c r="E12" s="363" t="s">
        <v>35</v>
      </c>
      <c r="F12" s="364" t="s">
        <v>30</v>
      </c>
      <c r="G12" s="528" t="s">
        <v>14</v>
      </c>
      <c r="H12" s="363" t="s">
        <v>35</v>
      </c>
      <c r="I12" s="364" t="s">
        <v>30</v>
      </c>
      <c r="J12" s="366" t="s">
        <v>659</v>
      </c>
      <c r="K12" s="529" t="s">
        <v>38</v>
      </c>
      <c r="L12" s="952"/>
      <c r="M12" s="954"/>
      <c r="N12" s="956"/>
      <c r="O12" s="958"/>
      <c r="P12" s="960"/>
      <c r="Q12" s="950"/>
    </row>
    <row r="13" spans="1:17" ht="15" x14ac:dyDescent="0.2">
      <c r="A13" s="196" t="s">
        <v>617</v>
      </c>
      <c r="B13" s="196" t="s">
        <v>616</v>
      </c>
      <c r="C13" s="373"/>
      <c r="D13" s="374" t="s">
        <v>21</v>
      </c>
      <c r="E13" s="255">
        <v>0</v>
      </c>
      <c r="F13" s="375">
        <f t="shared" ref="F13:F24" si="0">C13*E13</f>
        <v>0</v>
      </c>
      <c r="G13" s="531"/>
      <c r="H13" s="377">
        <v>0</v>
      </c>
      <c r="I13" s="375">
        <f t="shared" ref="I13:I24" si="1">G13*H13</f>
        <v>0</v>
      </c>
      <c r="J13" s="378"/>
      <c r="K13" s="532">
        <f t="shared" ref="K13:K24" si="2">F13+I13+J13</f>
        <v>0</v>
      </c>
      <c r="L13" s="380"/>
      <c r="M13" s="381"/>
      <c r="N13" s="382"/>
      <c r="O13" s="383"/>
      <c r="P13" s="384"/>
      <c r="Q13" s="385"/>
    </row>
    <row r="14" spans="1:17" ht="15" x14ac:dyDescent="0.2">
      <c r="A14" s="196" t="s">
        <v>618</v>
      </c>
      <c r="B14" s="196" t="s">
        <v>619</v>
      </c>
      <c r="C14" s="373"/>
      <c r="D14" s="374" t="s">
        <v>21</v>
      </c>
      <c r="E14" s="255">
        <v>0</v>
      </c>
      <c r="F14" s="375">
        <f t="shared" si="0"/>
        <v>0</v>
      </c>
      <c r="G14" s="531"/>
      <c r="H14" s="377">
        <v>0</v>
      </c>
      <c r="I14" s="375">
        <f t="shared" si="1"/>
        <v>0</v>
      </c>
      <c r="J14" s="378"/>
      <c r="K14" s="532">
        <f t="shared" si="2"/>
        <v>0</v>
      </c>
      <c r="L14" s="380"/>
      <c r="M14" s="381"/>
      <c r="N14" s="382"/>
      <c r="O14" s="383"/>
      <c r="P14" s="384"/>
      <c r="Q14" s="385"/>
    </row>
    <row r="15" spans="1:17" x14ac:dyDescent="0.2">
      <c r="A15" s="372"/>
      <c r="B15" s="5"/>
      <c r="C15" s="373"/>
      <c r="D15" s="374" t="s">
        <v>21</v>
      </c>
      <c r="E15" s="255">
        <v>0</v>
      </c>
      <c r="F15" s="375">
        <f t="shared" si="0"/>
        <v>0</v>
      </c>
      <c r="G15" s="531"/>
      <c r="H15" s="377">
        <v>0</v>
      </c>
      <c r="I15" s="375">
        <f t="shared" si="1"/>
        <v>0</v>
      </c>
      <c r="J15" s="378"/>
      <c r="K15" s="532">
        <f t="shared" si="2"/>
        <v>0</v>
      </c>
      <c r="L15" s="380"/>
      <c r="M15" s="381"/>
      <c r="N15" s="382"/>
      <c r="O15" s="383"/>
      <c r="P15" s="384"/>
      <c r="Q15" s="385"/>
    </row>
    <row r="16" spans="1:17" x14ac:dyDescent="0.2">
      <c r="A16" s="372"/>
      <c r="B16" s="5"/>
      <c r="C16" s="373"/>
      <c r="D16" s="374" t="s">
        <v>21</v>
      </c>
      <c r="E16" s="255">
        <v>0</v>
      </c>
      <c r="F16" s="375">
        <f t="shared" si="0"/>
        <v>0</v>
      </c>
      <c r="G16" s="531"/>
      <c r="H16" s="377">
        <v>0</v>
      </c>
      <c r="I16" s="375">
        <f t="shared" si="1"/>
        <v>0</v>
      </c>
      <c r="J16" s="378"/>
      <c r="K16" s="532">
        <f t="shared" si="2"/>
        <v>0</v>
      </c>
      <c r="L16" s="380"/>
      <c r="M16" s="381"/>
      <c r="N16" s="382"/>
      <c r="O16" s="383"/>
      <c r="P16" s="384"/>
      <c r="Q16" s="385"/>
    </row>
    <row r="17" spans="1:17" x14ac:dyDescent="0.2">
      <c r="A17" s="372"/>
      <c r="B17" s="6"/>
      <c r="C17" s="373"/>
      <c r="D17" s="374" t="s">
        <v>21</v>
      </c>
      <c r="E17" s="255">
        <v>0</v>
      </c>
      <c r="F17" s="375">
        <f t="shared" si="0"/>
        <v>0</v>
      </c>
      <c r="G17" s="531"/>
      <c r="H17" s="377">
        <v>0</v>
      </c>
      <c r="I17" s="375">
        <f t="shared" si="1"/>
        <v>0</v>
      </c>
      <c r="J17" s="378"/>
      <c r="K17" s="532">
        <f t="shared" si="2"/>
        <v>0</v>
      </c>
      <c r="L17" s="380"/>
      <c r="M17" s="381"/>
      <c r="N17" s="382"/>
      <c r="O17" s="383"/>
      <c r="P17" s="384"/>
      <c r="Q17" s="385"/>
    </row>
    <row r="18" spans="1:17" x14ac:dyDescent="0.2">
      <c r="A18" s="386"/>
      <c r="B18" s="5"/>
      <c r="C18" s="373"/>
      <c r="D18" s="374" t="s">
        <v>21</v>
      </c>
      <c r="E18" s="255">
        <v>0</v>
      </c>
      <c r="F18" s="375">
        <f t="shared" si="0"/>
        <v>0</v>
      </c>
      <c r="G18" s="531"/>
      <c r="H18" s="377">
        <v>0</v>
      </c>
      <c r="I18" s="375">
        <f t="shared" si="1"/>
        <v>0</v>
      </c>
      <c r="J18" s="378"/>
      <c r="K18" s="532">
        <f t="shared" si="2"/>
        <v>0</v>
      </c>
      <c r="L18" s="380"/>
      <c r="M18" s="381"/>
      <c r="N18" s="382"/>
      <c r="O18" s="383"/>
      <c r="P18" s="384"/>
      <c r="Q18" s="385"/>
    </row>
    <row r="19" spans="1:17" x14ac:dyDescent="0.2">
      <c r="A19" s="386"/>
      <c r="B19" s="5"/>
      <c r="C19" s="373"/>
      <c r="D19" s="374" t="s">
        <v>21</v>
      </c>
      <c r="E19" s="255">
        <v>0</v>
      </c>
      <c r="F19" s="375">
        <f t="shared" si="0"/>
        <v>0</v>
      </c>
      <c r="G19" s="531"/>
      <c r="H19" s="377">
        <v>0</v>
      </c>
      <c r="I19" s="375">
        <f t="shared" si="1"/>
        <v>0</v>
      </c>
      <c r="J19" s="378"/>
      <c r="K19" s="532">
        <f t="shared" si="2"/>
        <v>0</v>
      </c>
      <c r="L19" s="157"/>
      <c r="M19" s="471"/>
      <c r="O19" s="383"/>
      <c r="P19" s="384"/>
      <c r="Q19" s="385"/>
    </row>
    <row r="20" spans="1:17" x14ac:dyDescent="0.2">
      <c r="A20" s="386"/>
      <c r="B20" s="5"/>
      <c r="C20" s="373"/>
      <c r="D20" s="374" t="s">
        <v>21</v>
      </c>
      <c r="E20" s="255">
        <v>0</v>
      </c>
      <c r="F20" s="375">
        <f t="shared" si="0"/>
        <v>0</v>
      </c>
      <c r="G20" s="531"/>
      <c r="H20" s="377">
        <v>0</v>
      </c>
      <c r="I20" s="375">
        <f t="shared" si="1"/>
        <v>0</v>
      </c>
      <c r="J20" s="378"/>
      <c r="K20" s="532">
        <f t="shared" si="2"/>
        <v>0</v>
      </c>
      <c r="L20" s="157"/>
      <c r="M20" s="471"/>
      <c r="O20" s="383"/>
      <c r="P20" s="384"/>
      <c r="Q20" s="385"/>
    </row>
    <row r="21" spans="1:17" x14ac:dyDescent="0.2">
      <c r="A21" s="386"/>
      <c r="B21" s="5"/>
      <c r="C21" s="373"/>
      <c r="D21" s="374" t="s">
        <v>21</v>
      </c>
      <c r="E21" s="255">
        <v>0</v>
      </c>
      <c r="F21" s="375">
        <f t="shared" si="0"/>
        <v>0</v>
      </c>
      <c r="G21" s="531"/>
      <c r="H21" s="377">
        <v>0</v>
      </c>
      <c r="I21" s="375">
        <f t="shared" si="1"/>
        <v>0</v>
      </c>
      <c r="J21" s="378"/>
      <c r="K21" s="532">
        <f t="shared" si="2"/>
        <v>0</v>
      </c>
      <c r="L21" s="538"/>
      <c r="M21" s="576"/>
      <c r="N21" s="539"/>
      <c r="O21" s="383"/>
      <c r="P21" s="384"/>
      <c r="Q21" s="385"/>
    </row>
    <row r="22" spans="1:17" x14ac:dyDescent="0.2">
      <c r="A22" s="386"/>
      <c r="B22" s="5"/>
      <c r="C22" s="373"/>
      <c r="D22" s="374" t="s">
        <v>21</v>
      </c>
      <c r="E22" s="255">
        <v>0</v>
      </c>
      <c r="F22" s="375">
        <f t="shared" si="0"/>
        <v>0</v>
      </c>
      <c r="G22" s="531"/>
      <c r="H22" s="377">
        <v>0</v>
      </c>
      <c r="I22" s="375">
        <f t="shared" si="1"/>
        <v>0</v>
      </c>
      <c r="J22" s="378"/>
      <c r="K22" s="532">
        <f t="shared" si="2"/>
        <v>0</v>
      </c>
      <c r="L22" s="540"/>
      <c r="M22" s="466"/>
      <c r="N22" s="541"/>
      <c r="O22" s="383"/>
      <c r="P22" s="384"/>
      <c r="Q22" s="385"/>
    </row>
    <row r="23" spans="1:17" x14ac:dyDescent="0.2">
      <c r="A23" s="386"/>
      <c r="B23" s="5"/>
      <c r="C23" s="373"/>
      <c r="D23" s="374" t="s">
        <v>21</v>
      </c>
      <c r="E23" s="255">
        <v>0</v>
      </c>
      <c r="F23" s="375">
        <f t="shared" si="0"/>
        <v>0</v>
      </c>
      <c r="G23" s="531"/>
      <c r="H23" s="377">
        <v>0</v>
      </c>
      <c r="I23" s="375">
        <f t="shared" si="1"/>
        <v>0</v>
      </c>
      <c r="J23" s="378"/>
      <c r="K23" s="532">
        <f t="shared" si="2"/>
        <v>0</v>
      </c>
      <c r="L23" s="157"/>
      <c r="M23" s="471"/>
      <c r="O23" s="383"/>
      <c r="P23" s="384"/>
      <c r="Q23" s="385"/>
    </row>
    <row r="24" spans="1:17" x14ac:dyDescent="0.2">
      <c r="A24" s="386"/>
      <c r="B24" s="5"/>
      <c r="C24" s="373"/>
      <c r="D24" s="374" t="s">
        <v>21</v>
      </c>
      <c r="E24" s="255">
        <v>0</v>
      </c>
      <c r="F24" s="375">
        <f t="shared" si="0"/>
        <v>0</v>
      </c>
      <c r="G24" s="531"/>
      <c r="H24" s="377">
        <v>0</v>
      </c>
      <c r="I24" s="375">
        <f t="shared" si="1"/>
        <v>0</v>
      </c>
      <c r="J24" s="378"/>
      <c r="K24" s="532">
        <f t="shared" si="2"/>
        <v>0</v>
      </c>
      <c r="L24" s="157"/>
      <c r="M24" s="471"/>
      <c r="O24" s="383"/>
      <c r="P24" s="384"/>
      <c r="Q24" s="385"/>
    </row>
    <row r="25" spans="1:17" ht="13.5" thickBot="1" x14ac:dyDescent="0.25">
      <c r="A25" s="389"/>
      <c r="B25" s="7"/>
      <c r="C25" s="390"/>
      <c r="D25" s="374"/>
      <c r="E25" s="255"/>
      <c r="F25" s="375"/>
      <c r="G25" s="531"/>
      <c r="H25" s="377"/>
      <c r="I25" s="375"/>
      <c r="J25" s="378"/>
      <c r="K25" s="532"/>
      <c r="O25" s="383"/>
      <c r="P25" s="384"/>
      <c r="Q25" s="385"/>
    </row>
    <row r="26" spans="1:17" ht="13.5" thickTop="1" x14ac:dyDescent="0.2">
      <c r="A26" s="389"/>
      <c r="B26" s="7"/>
      <c r="C26" s="390"/>
      <c r="D26" s="374"/>
      <c r="E26" s="255"/>
      <c r="F26" s="375"/>
      <c r="G26" s="531"/>
      <c r="H26" s="377"/>
      <c r="I26" s="375"/>
      <c r="J26" s="391" t="s">
        <v>30</v>
      </c>
      <c r="K26" s="534">
        <f>SUM(K13:K25)</f>
        <v>0</v>
      </c>
      <c r="O26" s="383"/>
      <c r="P26" s="384"/>
      <c r="Q26" s="385"/>
    </row>
    <row r="27" spans="1:17" ht="13.5" thickBot="1" x14ac:dyDescent="0.25">
      <c r="A27" s="355" t="s">
        <v>0</v>
      </c>
      <c r="B27" s="356" t="s">
        <v>1</v>
      </c>
      <c r="C27" s="948" t="s">
        <v>656</v>
      </c>
      <c r="D27" s="948"/>
      <c r="E27" s="948"/>
      <c r="F27" s="948"/>
      <c r="G27" s="948" t="s">
        <v>34</v>
      </c>
      <c r="H27" s="948"/>
      <c r="I27" s="948"/>
      <c r="J27" s="357"/>
      <c r="K27" s="525"/>
      <c r="L27" s="393"/>
      <c r="M27" s="394"/>
      <c r="N27" s="395"/>
      <c r="O27" s="383"/>
      <c r="P27" s="384"/>
      <c r="Q27" s="385"/>
    </row>
    <row r="28" spans="1:17" ht="15.75" x14ac:dyDescent="0.25">
      <c r="A28" s="527" t="s">
        <v>620</v>
      </c>
      <c r="B28" s="527" t="s">
        <v>621</v>
      </c>
      <c r="C28" s="398" t="s">
        <v>19</v>
      </c>
      <c r="D28" s="399" t="s">
        <v>33</v>
      </c>
      <c r="E28" s="400" t="s">
        <v>35</v>
      </c>
      <c r="F28" s="401" t="s">
        <v>30</v>
      </c>
      <c r="G28" s="535" t="s">
        <v>14</v>
      </c>
      <c r="H28" s="400" t="s">
        <v>35</v>
      </c>
      <c r="I28" s="401" t="s">
        <v>30</v>
      </c>
      <c r="J28" s="366" t="s">
        <v>659</v>
      </c>
      <c r="K28" s="536" t="s">
        <v>38</v>
      </c>
      <c r="L28" s="404"/>
      <c r="M28" s="405"/>
      <c r="N28" s="406"/>
      <c r="O28" s="383"/>
      <c r="P28" s="384"/>
      <c r="Q28" s="385"/>
    </row>
    <row r="29" spans="1:17" s="159" customFormat="1" ht="15" x14ac:dyDescent="0.2">
      <c r="A29" s="196" t="s">
        <v>623</v>
      </c>
      <c r="B29" s="196" t="s">
        <v>622</v>
      </c>
      <c r="C29" s="373"/>
      <c r="D29" s="374" t="s">
        <v>21</v>
      </c>
      <c r="E29" s="255">
        <v>0</v>
      </c>
      <c r="F29" s="375">
        <f t="shared" ref="F29:F35" si="3">C29*E29</f>
        <v>0</v>
      </c>
      <c r="G29" s="531"/>
      <c r="H29" s="377">
        <v>0</v>
      </c>
      <c r="I29" s="375">
        <f t="shared" ref="I29:I35" si="4">G29*H29</f>
        <v>0</v>
      </c>
      <c r="J29" s="378"/>
      <c r="K29" s="532">
        <f t="shared" ref="K29:K35" si="5">F29+I29+J29</f>
        <v>0</v>
      </c>
      <c r="M29" s="276"/>
      <c r="O29" s="383"/>
      <c r="P29" s="384"/>
      <c r="Q29" s="385"/>
    </row>
    <row r="30" spans="1:17" s="159" customFormat="1" ht="15" x14ac:dyDescent="0.2">
      <c r="A30" s="196" t="s">
        <v>624</v>
      </c>
      <c r="B30" s="196" t="s">
        <v>625</v>
      </c>
      <c r="C30" s="373"/>
      <c r="D30" s="374" t="s">
        <v>21</v>
      </c>
      <c r="E30" s="255">
        <v>0</v>
      </c>
      <c r="F30" s="375">
        <f t="shared" si="3"/>
        <v>0</v>
      </c>
      <c r="G30" s="531"/>
      <c r="H30" s="377">
        <v>0</v>
      </c>
      <c r="I30" s="375">
        <f t="shared" si="4"/>
        <v>0</v>
      </c>
      <c r="J30" s="378"/>
      <c r="K30" s="532">
        <f t="shared" si="5"/>
        <v>0</v>
      </c>
      <c r="M30" s="276"/>
      <c r="O30" s="383"/>
      <c r="P30" s="384"/>
      <c r="Q30" s="385"/>
    </row>
    <row r="31" spans="1:17" s="159" customFormat="1" x14ac:dyDescent="0.2">
      <c r="A31" s="372"/>
      <c r="B31" s="5"/>
      <c r="C31" s="373"/>
      <c r="D31" s="374" t="s">
        <v>21</v>
      </c>
      <c r="E31" s="255">
        <v>0</v>
      </c>
      <c r="F31" s="375">
        <f t="shared" si="3"/>
        <v>0</v>
      </c>
      <c r="G31" s="531"/>
      <c r="H31" s="377">
        <v>0</v>
      </c>
      <c r="I31" s="375">
        <f t="shared" si="4"/>
        <v>0</v>
      </c>
      <c r="J31" s="378"/>
      <c r="K31" s="532">
        <f t="shared" si="5"/>
        <v>0</v>
      </c>
      <c r="M31" s="276"/>
      <c r="O31" s="383"/>
      <c r="P31" s="384"/>
      <c r="Q31" s="385"/>
    </row>
    <row r="32" spans="1:17" s="159" customFormat="1" x14ac:dyDescent="0.2">
      <c r="A32" s="372"/>
      <c r="B32" s="5"/>
      <c r="C32" s="373"/>
      <c r="D32" s="374" t="s">
        <v>21</v>
      </c>
      <c r="E32" s="255">
        <v>0</v>
      </c>
      <c r="F32" s="375">
        <f t="shared" si="3"/>
        <v>0</v>
      </c>
      <c r="G32" s="531"/>
      <c r="H32" s="377">
        <v>0</v>
      </c>
      <c r="I32" s="375">
        <f t="shared" si="4"/>
        <v>0</v>
      </c>
      <c r="J32" s="378"/>
      <c r="K32" s="532">
        <f t="shared" si="5"/>
        <v>0</v>
      </c>
      <c r="M32" s="278"/>
      <c r="N32" s="157"/>
      <c r="O32" s="383"/>
      <c r="P32" s="384"/>
      <c r="Q32" s="385"/>
    </row>
    <row r="33" spans="1:17" s="159" customFormat="1" x14ac:dyDescent="0.2">
      <c r="A33" s="372"/>
      <c r="B33" s="5"/>
      <c r="C33" s="373"/>
      <c r="D33" s="374" t="s">
        <v>21</v>
      </c>
      <c r="E33" s="255">
        <v>0</v>
      </c>
      <c r="F33" s="375">
        <f t="shared" si="3"/>
        <v>0</v>
      </c>
      <c r="G33" s="531"/>
      <c r="H33" s="377">
        <v>0</v>
      </c>
      <c r="I33" s="375">
        <f t="shared" si="4"/>
        <v>0</v>
      </c>
      <c r="J33" s="378"/>
      <c r="K33" s="532">
        <f t="shared" si="5"/>
        <v>0</v>
      </c>
      <c r="L33" s="380"/>
      <c r="M33" s="381"/>
      <c r="N33" s="382"/>
      <c r="O33" s="383"/>
      <c r="P33" s="384"/>
      <c r="Q33" s="385"/>
    </row>
    <row r="34" spans="1:17" s="159" customFormat="1" x14ac:dyDescent="0.2">
      <c r="A34" s="372"/>
      <c r="B34" s="5"/>
      <c r="C34" s="373"/>
      <c r="D34" s="374" t="s">
        <v>21</v>
      </c>
      <c r="E34" s="255">
        <v>0</v>
      </c>
      <c r="F34" s="375">
        <f t="shared" si="3"/>
        <v>0</v>
      </c>
      <c r="G34" s="531"/>
      <c r="H34" s="377">
        <v>0</v>
      </c>
      <c r="I34" s="375">
        <f t="shared" si="4"/>
        <v>0</v>
      </c>
      <c r="J34" s="378"/>
      <c r="K34" s="532">
        <f t="shared" si="5"/>
        <v>0</v>
      </c>
      <c r="L34" s="380"/>
      <c r="M34" s="381"/>
      <c r="N34" s="382"/>
      <c r="O34" s="383"/>
      <c r="P34" s="384"/>
      <c r="Q34" s="385"/>
    </row>
    <row r="35" spans="1:17" s="159" customFormat="1" x14ac:dyDescent="0.2">
      <c r="A35" s="372"/>
      <c r="B35" s="5"/>
      <c r="C35" s="373"/>
      <c r="D35" s="374" t="s">
        <v>21</v>
      </c>
      <c r="E35" s="255">
        <v>0</v>
      </c>
      <c r="F35" s="375">
        <f t="shared" si="3"/>
        <v>0</v>
      </c>
      <c r="G35" s="531"/>
      <c r="H35" s="377">
        <v>0</v>
      </c>
      <c r="I35" s="375">
        <f t="shared" si="4"/>
        <v>0</v>
      </c>
      <c r="J35" s="378"/>
      <c r="K35" s="532">
        <f t="shared" si="5"/>
        <v>0</v>
      </c>
      <c r="L35" s="538"/>
      <c r="M35" s="576"/>
      <c r="N35" s="539"/>
      <c r="O35" s="383"/>
      <c r="P35" s="384"/>
      <c r="Q35" s="385"/>
    </row>
    <row r="36" spans="1:17" s="159" customFormat="1" ht="13.5" thickBot="1" x14ac:dyDescent="0.25">
      <c r="A36" s="372"/>
      <c r="B36" s="5"/>
      <c r="C36" s="390"/>
      <c r="D36" s="374"/>
      <c r="E36" s="255"/>
      <c r="F36" s="375"/>
      <c r="G36" s="531"/>
      <c r="H36" s="377"/>
      <c r="I36" s="375"/>
      <c r="J36" s="378"/>
      <c r="K36" s="537"/>
      <c r="M36" s="276"/>
      <c r="O36" s="383"/>
      <c r="P36" s="384"/>
      <c r="Q36" s="385"/>
    </row>
    <row r="37" spans="1:17" s="159" customFormat="1" ht="13.5" thickTop="1" x14ac:dyDescent="0.2">
      <c r="A37" s="389"/>
      <c r="B37" s="5"/>
      <c r="C37" s="390"/>
      <c r="D37" s="374"/>
      <c r="E37" s="255"/>
      <c r="F37" s="375"/>
      <c r="G37" s="531"/>
      <c r="H37" s="377"/>
      <c r="I37" s="375"/>
      <c r="J37" s="391" t="s">
        <v>30</v>
      </c>
      <c r="K37" s="534">
        <f>SUM(K29:K36)</f>
        <v>0</v>
      </c>
      <c r="M37" s="276"/>
      <c r="O37" s="383"/>
      <c r="P37" s="384"/>
      <c r="Q37" s="385"/>
    </row>
    <row r="38" spans="1:17" s="159" customFormat="1" ht="13.5" thickBot="1" x14ac:dyDescent="0.25">
      <c r="A38" s="355" t="s">
        <v>0</v>
      </c>
      <c r="B38" s="356" t="s">
        <v>1</v>
      </c>
      <c r="C38" s="948" t="s">
        <v>656</v>
      </c>
      <c r="D38" s="948"/>
      <c r="E38" s="948"/>
      <c r="F38" s="948"/>
      <c r="G38" s="948" t="s">
        <v>34</v>
      </c>
      <c r="H38" s="948"/>
      <c r="I38" s="948"/>
      <c r="J38" s="357"/>
      <c r="K38" s="525"/>
      <c r="L38" s="393"/>
      <c r="M38" s="394"/>
      <c r="N38" s="395"/>
      <c r="O38" s="383"/>
      <c r="P38" s="384"/>
      <c r="Q38" s="385"/>
    </row>
    <row r="39" spans="1:17" s="159" customFormat="1" ht="15.75" x14ac:dyDescent="0.25">
      <c r="A39" s="527" t="s">
        <v>626</v>
      </c>
      <c r="B39" s="527" t="s">
        <v>627</v>
      </c>
      <c r="C39" s="398" t="s">
        <v>19</v>
      </c>
      <c r="D39" s="399" t="s">
        <v>33</v>
      </c>
      <c r="E39" s="400" t="s">
        <v>35</v>
      </c>
      <c r="F39" s="401" t="s">
        <v>30</v>
      </c>
      <c r="G39" s="535" t="s">
        <v>14</v>
      </c>
      <c r="H39" s="400" t="s">
        <v>35</v>
      </c>
      <c r="I39" s="401" t="s">
        <v>30</v>
      </c>
      <c r="J39" s="366" t="s">
        <v>659</v>
      </c>
      <c r="K39" s="536" t="s">
        <v>38</v>
      </c>
      <c r="L39" s="404"/>
      <c r="M39" s="405"/>
      <c r="N39" s="406"/>
      <c r="O39" s="412"/>
      <c r="P39" s="413"/>
      <c r="Q39" s="385"/>
    </row>
    <row r="40" spans="1:17" s="159" customFormat="1" ht="15" x14ac:dyDescent="0.2">
      <c r="A40" s="196" t="s">
        <v>628</v>
      </c>
      <c r="B40" s="196" t="s">
        <v>629</v>
      </c>
      <c r="C40" s="373"/>
      <c r="D40" s="374" t="s">
        <v>21</v>
      </c>
      <c r="E40" s="255">
        <v>0</v>
      </c>
      <c r="F40" s="375">
        <f>C40*E40</f>
        <v>0</v>
      </c>
      <c r="G40" s="531"/>
      <c r="H40" s="377">
        <v>0</v>
      </c>
      <c r="I40" s="375">
        <f>G40*H40</f>
        <v>0</v>
      </c>
      <c r="J40" s="378"/>
      <c r="K40" s="532">
        <f>F40+I40+J40</f>
        <v>0</v>
      </c>
      <c r="M40" s="276"/>
      <c r="O40" s="412"/>
      <c r="P40" s="413"/>
      <c r="Q40" s="385"/>
    </row>
    <row r="41" spans="1:17" s="159" customFormat="1" x14ac:dyDescent="0.2">
      <c r="A41" s="258" t="s">
        <v>631</v>
      </c>
      <c r="B41" s="258" t="s">
        <v>630</v>
      </c>
      <c r="C41" s="373"/>
      <c r="D41" s="374" t="s">
        <v>21</v>
      </c>
      <c r="E41" s="255">
        <v>0</v>
      </c>
      <c r="F41" s="375">
        <f>C41*E41</f>
        <v>0</v>
      </c>
      <c r="G41" s="531"/>
      <c r="H41" s="377">
        <v>0</v>
      </c>
      <c r="I41" s="375">
        <f>G41*H41</f>
        <v>0</v>
      </c>
      <c r="J41" s="378"/>
      <c r="K41" s="532">
        <f>F41+I41+J41</f>
        <v>0</v>
      </c>
      <c r="L41" s="540"/>
      <c r="M41" s="668"/>
      <c r="N41" s="667"/>
      <c r="O41" s="412"/>
      <c r="P41" s="413"/>
      <c r="Q41" s="385"/>
    </row>
    <row r="42" spans="1:17" s="159" customFormat="1" ht="15" x14ac:dyDescent="0.2">
      <c r="A42" s="196" t="s">
        <v>632</v>
      </c>
      <c r="B42" s="196" t="s">
        <v>633</v>
      </c>
      <c r="C42" s="373"/>
      <c r="D42" s="374" t="s">
        <v>21</v>
      </c>
      <c r="E42" s="255">
        <v>0</v>
      </c>
      <c r="F42" s="375">
        <f>C42*E42</f>
        <v>0</v>
      </c>
      <c r="G42" s="531"/>
      <c r="H42" s="377">
        <v>0</v>
      </c>
      <c r="I42" s="375">
        <f>G42*H42</f>
        <v>0</v>
      </c>
      <c r="J42" s="378"/>
      <c r="K42" s="532">
        <f>F42+I42+J42</f>
        <v>0</v>
      </c>
      <c r="L42" s="380"/>
      <c r="M42" s="381"/>
      <c r="N42" s="382"/>
      <c r="O42" s="412"/>
      <c r="P42" s="413"/>
      <c r="Q42" s="385"/>
    </row>
    <row r="43" spans="1:17" s="159" customFormat="1" ht="15" x14ac:dyDescent="0.2">
      <c r="A43" s="196" t="s">
        <v>634</v>
      </c>
      <c r="B43" s="196" t="s">
        <v>635</v>
      </c>
      <c r="C43" s="373"/>
      <c r="D43" s="374" t="s">
        <v>21</v>
      </c>
      <c r="E43" s="255">
        <v>0</v>
      </c>
      <c r="F43" s="375">
        <f>C43*E43</f>
        <v>0</v>
      </c>
      <c r="G43" s="531"/>
      <c r="H43" s="377">
        <v>0</v>
      </c>
      <c r="I43" s="375">
        <f>G43*H43</f>
        <v>0</v>
      </c>
      <c r="J43" s="378"/>
      <c r="K43" s="532">
        <f>F43+I43+J43</f>
        <v>0</v>
      </c>
      <c r="M43" s="276"/>
      <c r="O43" s="412"/>
      <c r="P43" s="413"/>
      <c r="Q43" s="385"/>
    </row>
    <row r="44" spans="1:17" s="159" customFormat="1" ht="13.5" thickBot="1" x14ac:dyDescent="0.25">
      <c r="A44" s="389"/>
      <c r="B44" s="414"/>
      <c r="C44" s="390"/>
      <c r="D44" s="374"/>
      <c r="E44" s="255"/>
      <c r="F44" s="375"/>
      <c r="G44" s="531"/>
      <c r="H44" s="377"/>
      <c r="I44" s="375"/>
      <c r="J44" s="378"/>
      <c r="K44" s="537"/>
      <c r="M44" s="276"/>
      <c r="O44" s="412"/>
      <c r="P44" s="413"/>
      <c r="Q44" s="385"/>
    </row>
    <row r="45" spans="1:17" s="159" customFormat="1" ht="13.5" thickTop="1" x14ac:dyDescent="0.2">
      <c r="A45" s="389"/>
      <c r="B45" s="414"/>
      <c r="C45" s="390"/>
      <c r="D45" s="374"/>
      <c r="E45" s="255"/>
      <c r="F45" s="375"/>
      <c r="G45" s="531"/>
      <c r="H45" s="377"/>
      <c r="I45" s="375"/>
      <c r="J45" s="391" t="s">
        <v>30</v>
      </c>
      <c r="K45" s="534">
        <f>SUM(K40:K44)</f>
        <v>0</v>
      </c>
      <c r="L45" s="380"/>
      <c r="M45" s="381"/>
      <c r="N45" s="382"/>
      <c r="O45" s="383"/>
      <c r="P45" s="384"/>
      <c r="Q45" s="385"/>
    </row>
    <row r="46" spans="1:17" s="159" customFormat="1" ht="13.5" thickBot="1" x14ac:dyDescent="0.25">
      <c r="A46" s="355" t="s">
        <v>0</v>
      </c>
      <c r="B46" s="356" t="s">
        <v>1</v>
      </c>
      <c r="C46" s="948" t="s">
        <v>656</v>
      </c>
      <c r="D46" s="948"/>
      <c r="E46" s="948"/>
      <c r="F46" s="948"/>
      <c r="G46" s="948" t="s">
        <v>34</v>
      </c>
      <c r="H46" s="948"/>
      <c r="I46" s="948"/>
      <c r="J46" s="357"/>
      <c r="K46" s="525"/>
      <c r="L46" s="393"/>
      <c r="M46" s="394"/>
      <c r="N46" s="395"/>
      <c r="O46" s="383"/>
      <c r="P46" s="384"/>
      <c r="Q46" s="385"/>
    </row>
    <row r="47" spans="1:17" s="159" customFormat="1" ht="15.75" x14ac:dyDescent="0.25">
      <c r="A47" s="527" t="s">
        <v>636</v>
      </c>
      <c r="B47" s="527" t="s">
        <v>637</v>
      </c>
      <c r="C47" s="398" t="s">
        <v>19</v>
      </c>
      <c r="D47" s="399" t="s">
        <v>33</v>
      </c>
      <c r="E47" s="400" t="s">
        <v>35</v>
      </c>
      <c r="F47" s="401" t="s">
        <v>30</v>
      </c>
      <c r="G47" s="535" t="s">
        <v>14</v>
      </c>
      <c r="H47" s="400" t="s">
        <v>35</v>
      </c>
      <c r="I47" s="401" t="s">
        <v>30</v>
      </c>
      <c r="J47" s="366" t="s">
        <v>659</v>
      </c>
      <c r="K47" s="536" t="s">
        <v>38</v>
      </c>
      <c r="L47" s="404"/>
      <c r="M47" s="410"/>
      <c r="N47" s="411"/>
      <c r="O47" s="383"/>
      <c r="P47" s="413"/>
      <c r="Q47" s="385"/>
    </row>
    <row r="48" spans="1:17" s="159" customFormat="1" ht="15" x14ac:dyDescent="0.2">
      <c r="A48" s="196" t="s">
        <v>638</v>
      </c>
      <c r="B48" s="196" t="s">
        <v>639</v>
      </c>
      <c r="C48" s="373"/>
      <c r="D48" s="374" t="s">
        <v>21</v>
      </c>
      <c r="E48" s="255">
        <v>0</v>
      </c>
      <c r="F48" s="375">
        <f>C48*E48</f>
        <v>0</v>
      </c>
      <c r="G48" s="531"/>
      <c r="H48" s="377">
        <v>0</v>
      </c>
      <c r="I48" s="375">
        <f>G48*H48</f>
        <v>0</v>
      </c>
      <c r="J48" s="378"/>
      <c r="K48" s="532">
        <f>F48+I48+J48</f>
        <v>0</v>
      </c>
      <c r="L48" s="380"/>
      <c r="M48" s="257"/>
      <c r="N48" s="423"/>
      <c r="O48" s="383"/>
      <c r="P48" s="384"/>
      <c r="Q48" s="385"/>
    </row>
    <row r="49" spans="1:17" s="159" customFormat="1" x14ac:dyDescent="0.2">
      <c r="A49" s="258" t="s">
        <v>640</v>
      </c>
      <c r="B49" s="258" t="s">
        <v>641</v>
      </c>
      <c r="C49" s="373"/>
      <c r="D49" s="374" t="s">
        <v>21</v>
      </c>
      <c r="E49" s="255">
        <v>0</v>
      </c>
      <c r="F49" s="375">
        <f>C49*E49</f>
        <v>0</v>
      </c>
      <c r="G49" s="531"/>
      <c r="H49" s="377">
        <v>0</v>
      </c>
      <c r="I49" s="375">
        <f>G49*H49</f>
        <v>0</v>
      </c>
      <c r="J49" s="378"/>
      <c r="K49" s="532">
        <f>F49+I49+J49</f>
        <v>0</v>
      </c>
      <c r="L49" s="538"/>
      <c r="M49" s="576"/>
      <c r="N49" s="539"/>
      <c r="O49" s="383"/>
      <c r="P49" s="384"/>
      <c r="Q49" s="385"/>
    </row>
    <row r="50" spans="1:17" s="159" customFormat="1" x14ac:dyDescent="0.2">
      <c r="A50" s="372"/>
      <c r="B50" s="5"/>
      <c r="C50" s="373"/>
      <c r="D50" s="374" t="s">
        <v>21</v>
      </c>
      <c r="E50" s="255">
        <v>0</v>
      </c>
      <c r="F50" s="375">
        <f>C50*E50</f>
        <v>0</v>
      </c>
      <c r="G50" s="531"/>
      <c r="H50" s="377">
        <v>0</v>
      </c>
      <c r="I50" s="375">
        <f>G50*H50</f>
        <v>0</v>
      </c>
      <c r="J50" s="378"/>
      <c r="K50" s="532">
        <f>F50+I50+J50</f>
        <v>0</v>
      </c>
      <c r="M50" s="276"/>
      <c r="O50" s="383"/>
      <c r="P50" s="384"/>
      <c r="Q50" s="385"/>
    </row>
    <row r="51" spans="1:17" s="159" customFormat="1" x14ac:dyDescent="0.2">
      <c r="A51" s="372"/>
      <c r="B51" s="5"/>
      <c r="C51" s="373"/>
      <c r="D51" s="374" t="s">
        <v>21</v>
      </c>
      <c r="E51" s="255">
        <v>0</v>
      </c>
      <c r="F51" s="375">
        <f>C51*E51</f>
        <v>0</v>
      </c>
      <c r="G51" s="531"/>
      <c r="H51" s="377">
        <v>0</v>
      </c>
      <c r="I51" s="375">
        <f>G51*H51</f>
        <v>0</v>
      </c>
      <c r="J51" s="378"/>
      <c r="K51" s="532">
        <f>F51+I51+J51</f>
        <v>0</v>
      </c>
      <c r="M51" s="276"/>
      <c r="O51" s="383"/>
      <c r="P51" s="384"/>
      <c r="Q51" s="385"/>
    </row>
    <row r="52" spans="1:17" s="159" customFormat="1" x14ac:dyDescent="0.2">
      <c r="A52" s="372"/>
      <c r="B52" s="5"/>
      <c r="C52" s="373"/>
      <c r="D52" s="374" t="s">
        <v>21</v>
      </c>
      <c r="E52" s="255">
        <v>0</v>
      </c>
      <c r="F52" s="375">
        <f>C52*E52</f>
        <v>0</v>
      </c>
      <c r="G52" s="531"/>
      <c r="H52" s="377">
        <v>0</v>
      </c>
      <c r="I52" s="375">
        <f>G52*H52</f>
        <v>0</v>
      </c>
      <c r="J52" s="378"/>
      <c r="K52" s="532">
        <f>F52+I52+J52</f>
        <v>0</v>
      </c>
      <c r="L52" s="380"/>
      <c r="M52" s="257"/>
      <c r="N52" s="423"/>
      <c r="O52" s="383"/>
      <c r="P52" s="384"/>
      <c r="Q52" s="385"/>
    </row>
    <row r="53" spans="1:17" s="159" customFormat="1" ht="13.5" thickBot="1" x14ac:dyDescent="0.25">
      <c r="A53" s="389"/>
      <c r="B53" s="414"/>
      <c r="C53" s="390"/>
      <c r="D53" s="374"/>
      <c r="E53" s="255"/>
      <c r="F53" s="375"/>
      <c r="G53" s="531"/>
      <c r="H53" s="377"/>
      <c r="I53" s="375"/>
      <c r="J53" s="378"/>
      <c r="K53" s="537"/>
      <c r="M53" s="276"/>
      <c r="O53" s="383"/>
      <c r="P53" s="384"/>
      <c r="Q53" s="385"/>
    </row>
    <row r="54" spans="1:17" s="159" customFormat="1" ht="14.25" thickTop="1" thickBot="1" x14ac:dyDescent="0.25">
      <c r="A54" s="389"/>
      <c r="B54" s="414"/>
      <c r="C54" s="390"/>
      <c r="D54" s="374"/>
      <c r="E54" s="255"/>
      <c r="F54" s="375"/>
      <c r="G54" s="531"/>
      <c r="H54" s="377"/>
      <c r="I54" s="375"/>
      <c r="J54" s="391" t="s">
        <v>30</v>
      </c>
      <c r="K54" s="534">
        <f>SUM(K48:K53)</f>
        <v>0</v>
      </c>
      <c r="L54" s="585"/>
      <c r="M54" s="659"/>
      <c r="N54" s="660"/>
      <c r="O54" s="683"/>
      <c r="P54" s="684"/>
      <c r="Q54" s="464"/>
    </row>
    <row r="55" spans="1:17" s="159" customFormat="1" ht="14.1" customHeight="1" thickTop="1" x14ac:dyDescent="0.25">
      <c r="A55" s="480"/>
      <c r="B55" s="481"/>
      <c r="C55" s="482"/>
      <c r="D55" s="482"/>
      <c r="E55" s="483"/>
      <c r="F55" s="978" t="s">
        <v>658</v>
      </c>
      <c r="G55" s="1001" t="s">
        <v>682</v>
      </c>
      <c r="H55" s="483"/>
      <c r="I55" s="971" t="s">
        <v>657</v>
      </c>
      <c r="J55" s="967" t="s">
        <v>683</v>
      </c>
      <c r="K55" s="965" t="s">
        <v>31</v>
      </c>
      <c r="M55" s="278"/>
      <c r="N55" s="157"/>
      <c r="O55" s="304"/>
      <c r="P55" s="304"/>
    </row>
    <row r="56" spans="1:17" s="159" customFormat="1" ht="15" x14ac:dyDescent="0.2">
      <c r="A56" s="484" t="s">
        <v>32</v>
      </c>
      <c r="B56" s="973" t="s">
        <v>669</v>
      </c>
      <c r="C56" s="485"/>
      <c r="D56" s="486"/>
      <c r="E56" s="486"/>
      <c r="F56" s="979"/>
      <c r="G56" s="1002"/>
      <c r="H56" s="487"/>
      <c r="I56" s="972"/>
      <c r="J56" s="968"/>
      <c r="K56" s="966"/>
      <c r="M56" s="278"/>
      <c r="N56" s="157"/>
      <c r="O56" s="304"/>
      <c r="P56" s="304"/>
    </row>
    <row r="57" spans="1:17" s="159" customFormat="1" ht="15" x14ac:dyDescent="0.25">
      <c r="A57" s="488">
        <f>K57/E6</f>
        <v>0</v>
      </c>
      <c r="B57" s="973"/>
      <c r="C57" s="486"/>
      <c r="D57" s="486"/>
      <c r="E57" s="486"/>
      <c r="F57" s="969">
        <f>SUM(F48:F53,F40:F44,F29:F36,F13:F25)</f>
        <v>0</v>
      </c>
      <c r="G57" s="1015">
        <f>SUM(G48:G53,G40:G44,G29:G36,G13:G24)</f>
        <v>0</v>
      </c>
      <c r="H57" s="487"/>
      <c r="I57" s="969">
        <f>SUM(I48:I53,I40:I44,I29:I36,I13:I25)</f>
        <v>0</v>
      </c>
      <c r="J57" s="961">
        <f>SUM(J48:J53,J40:J44,J29:J36,J13:J25)</f>
        <v>0</v>
      </c>
      <c r="K57" s="963">
        <f>SUM(K54,K45,K37,K26)</f>
        <v>0</v>
      </c>
      <c r="M57" s="278"/>
      <c r="N57" s="157"/>
      <c r="O57" s="304"/>
      <c r="P57" s="304"/>
    </row>
    <row r="58" spans="1:17" s="159" customFormat="1" ht="15" thickBot="1" x14ac:dyDescent="0.25">
      <c r="A58" s="484"/>
      <c r="B58" s="552"/>
      <c r="C58" s="490"/>
      <c r="D58" s="490"/>
      <c r="E58" s="490"/>
      <c r="F58" s="970"/>
      <c r="G58" s="1016"/>
      <c r="H58" s="490"/>
      <c r="I58" s="970"/>
      <c r="J58" s="962"/>
      <c r="K58" s="964"/>
      <c r="M58" s="278"/>
      <c r="N58" s="157"/>
      <c r="O58" s="304"/>
      <c r="P58" s="304"/>
    </row>
    <row r="59" spans="1:17" s="159" customFormat="1" ht="13.5" thickBot="1" x14ac:dyDescent="0.25">
      <c r="A59" s="491"/>
      <c r="B59" s="492"/>
      <c r="C59" s="492"/>
      <c r="D59" s="492"/>
      <c r="E59" s="492"/>
      <c r="F59" s="492"/>
      <c r="G59" s="492"/>
      <c r="H59" s="492"/>
      <c r="I59" s="492"/>
      <c r="J59" s="492"/>
      <c r="K59" s="493"/>
      <c r="M59" s="278"/>
      <c r="N59" s="157"/>
      <c r="O59" s="304"/>
      <c r="P59" s="304"/>
    </row>
    <row r="60" spans="1:17" s="159" customFormat="1" x14ac:dyDescent="0.2">
      <c r="C60" s="657"/>
      <c r="D60" s="657"/>
      <c r="J60" s="276"/>
      <c r="M60" s="278"/>
      <c r="N60" s="157"/>
      <c r="O60" s="304"/>
      <c r="P60" s="304"/>
    </row>
    <row r="61" spans="1:17" s="159" customFormat="1" x14ac:dyDescent="0.2">
      <c r="C61" s="657"/>
      <c r="D61" s="657"/>
      <c r="J61" s="276"/>
      <c r="M61" s="278"/>
      <c r="N61" s="157"/>
      <c r="O61" s="304"/>
      <c r="P61" s="304"/>
    </row>
    <row r="62" spans="1:17" s="159" customFormat="1" x14ac:dyDescent="0.2">
      <c r="C62" s="657"/>
      <c r="D62" s="657"/>
      <c r="J62" s="276"/>
      <c r="M62" s="278"/>
      <c r="N62" s="157"/>
      <c r="O62" s="304"/>
      <c r="P62" s="304"/>
    </row>
    <row r="63" spans="1:17" s="159" customFormat="1" x14ac:dyDescent="0.2">
      <c r="C63" s="657"/>
      <c r="D63" s="657"/>
      <c r="J63" s="276"/>
      <c r="M63" s="278"/>
      <c r="N63" s="157"/>
      <c r="O63" s="304"/>
      <c r="P63" s="304"/>
    </row>
    <row r="64" spans="1:17" s="159" customFormat="1" x14ac:dyDescent="0.2">
      <c r="C64" s="657"/>
      <c r="D64" s="657"/>
      <c r="J64" s="276"/>
      <c r="M64" s="278"/>
      <c r="N64" s="157"/>
      <c r="O64" s="304"/>
      <c r="P64" s="304"/>
    </row>
    <row r="65" spans="3:16" s="159" customFormat="1" x14ac:dyDescent="0.2">
      <c r="C65" s="657"/>
      <c r="D65" s="657"/>
      <c r="J65" s="276"/>
      <c r="M65" s="278"/>
      <c r="N65" s="157"/>
      <c r="O65" s="304"/>
      <c r="P65" s="304"/>
    </row>
    <row r="66" spans="3:16" s="159" customFormat="1" x14ac:dyDescent="0.2">
      <c r="C66" s="657"/>
      <c r="D66" s="657"/>
      <c r="J66" s="276"/>
      <c r="M66" s="278"/>
      <c r="N66" s="157"/>
      <c r="O66" s="304"/>
      <c r="P66" s="304"/>
    </row>
    <row r="67" spans="3:16" s="159" customFormat="1" x14ac:dyDescent="0.2">
      <c r="C67" s="657"/>
      <c r="D67" s="657"/>
      <c r="J67" s="276"/>
      <c r="M67" s="278"/>
      <c r="N67" s="157"/>
      <c r="O67" s="304"/>
      <c r="P67" s="304"/>
    </row>
    <row r="68" spans="3:16" s="159" customFormat="1" x14ac:dyDescent="0.2">
      <c r="C68" s="657"/>
      <c r="D68" s="657"/>
      <c r="J68" s="276"/>
      <c r="M68" s="278"/>
      <c r="N68" s="157"/>
      <c r="O68" s="304"/>
      <c r="P68" s="304"/>
    </row>
    <row r="69" spans="3:16" s="159" customFormat="1" x14ac:dyDescent="0.2">
      <c r="C69" s="657"/>
      <c r="D69" s="657"/>
      <c r="J69" s="276"/>
      <c r="M69" s="278"/>
      <c r="N69" s="157"/>
      <c r="O69" s="304"/>
      <c r="P69" s="304"/>
    </row>
    <row r="70" spans="3:16" s="159" customFormat="1" x14ac:dyDescent="0.2">
      <c r="C70" s="657"/>
      <c r="D70" s="657"/>
      <c r="J70" s="276"/>
      <c r="M70" s="278"/>
      <c r="N70" s="157"/>
      <c r="O70" s="304"/>
      <c r="P70" s="304"/>
    </row>
    <row r="71" spans="3:16" s="159" customFormat="1" x14ac:dyDescent="0.2">
      <c r="C71" s="657"/>
      <c r="D71" s="657"/>
      <c r="J71" s="276"/>
      <c r="M71" s="278"/>
      <c r="N71" s="157"/>
      <c r="O71" s="304"/>
      <c r="P71" s="304"/>
    </row>
    <row r="72" spans="3:16" s="159" customFormat="1" x14ac:dyDescent="0.2">
      <c r="C72" s="657"/>
      <c r="D72" s="657"/>
      <c r="J72" s="276"/>
      <c r="M72" s="278"/>
      <c r="N72" s="157"/>
      <c r="O72" s="304"/>
      <c r="P72" s="304"/>
    </row>
    <row r="73" spans="3:16" s="159" customFormat="1" x14ac:dyDescent="0.2">
      <c r="C73" s="657"/>
      <c r="D73" s="657"/>
      <c r="J73" s="276"/>
      <c r="M73" s="278"/>
      <c r="N73" s="157"/>
      <c r="O73" s="304"/>
      <c r="P73" s="304"/>
    </row>
    <row r="74" spans="3:16" s="159" customFormat="1" x14ac:dyDescent="0.2">
      <c r="C74" s="657"/>
      <c r="D74" s="657"/>
      <c r="J74" s="276"/>
      <c r="M74" s="278"/>
      <c r="N74" s="157"/>
      <c r="O74" s="304"/>
      <c r="P74" s="304"/>
    </row>
    <row r="75" spans="3:16" s="159" customFormat="1" x14ac:dyDescent="0.2">
      <c r="C75" s="657"/>
      <c r="D75" s="657"/>
      <c r="J75" s="276"/>
      <c r="M75" s="278"/>
      <c r="N75" s="157"/>
      <c r="O75" s="304"/>
      <c r="P75" s="304"/>
    </row>
    <row r="76" spans="3:16" s="159" customFormat="1" x14ac:dyDescent="0.2">
      <c r="C76" s="657"/>
      <c r="D76" s="657"/>
      <c r="J76" s="276"/>
      <c r="M76" s="278"/>
      <c r="N76" s="157"/>
      <c r="O76" s="304"/>
      <c r="P76" s="304"/>
    </row>
    <row r="77" spans="3:16" s="159" customFormat="1" x14ac:dyDescent="0.2">
      <c r="C77" s="657"/>
      <c r="D77" s="657"/>
      <c r="J77" s="276"/>
      <c r="M77" s="278"/>
      <c r="N77" s="157"/>
      <c r="O77" s="304"/>
      <c r="P77" s="304"/>
    </row>
    <row r="78" spans="3:16" s="159" customFormat="1" x14ac:dyDescent="0.2">
      <c r="C78" s="657"/>
      <c r="D78" s="657"/>
      <c r="J78" s="276"/>
      <c r="M78" s="278"/>
      <c r="N78" s="157"/>
      <c r="O78" s="304"/>
      <c r="P78" s="304"/>
    </row>
    <row r="79" spans="3:16" s="159" customFormat="1" x14ac:dyDescent="0.2">
      <c r="C79" s="657"/>
      <c r="D79" s="657"/>
      <c r="J79" s="276"/>
      <c r="M79" s="278"/>
      <c r="N79" s="157"/>
      <c r="O79" s="304"/>
      <c r="P79" s="304"/>
    </row>
    <row r="80" spans="3:16" s="159" customFormat="1" x14ac:dyDescent="0.2">
      <c r="C80" s="657"/>
      <c r="D80" s="657"/>
      <c r="J80" s="276"/>
      <c r="M80" s="278"/>
      <c r="N80" s="157"/>
      <c r="O80" s="304"/>
      <c r="P80" s="304"/>
    </row>
    <row r="81" spans="3:16" s="159" customFormat="1" x14ac:dyDescent="0.2">
      <c r="C81" s="657"/>
      <c r="D81" s="657"/>
      <c r="J81" s="276"/>
      <c r="M81" s="278"/>
      <c r="N81" s="157"/>
      <c r="O81" s="304"/>
      <c r="P81" s="304"/>
    </row>
    <row r="82" spans="3:16" s="159" customFormat="1" x14ac:dyDescent="0.2">
      <c r="C82" s="657"/>
      <c r="D82" s="657"/>
      <c r="J82" s="276"/>
      <c r="M82" s="278"/>
      <c r="N82" s="157"/>
      <c r="O82" s="304"/>
      <c r="P82" s="304"/>
    </row>
    <row r="83" spans="3:16" s="159" customFormat="1" x14ac:dyDescent="0.2">
      <c r="C83" s="657"/>
      <c r="D83" s="657"/>
      <c r="J83" s="276"/>
      <c r="M83" s="278"/>
      <c r="N83" s="157"/>
      <c r="O83" s="304"/>
      <c r="P83" s="304"/>
    </row>
    <row r="84" spans="3:16" s="159" customFormat="1" x14ac:dyDescent="0.2">
      <c r="C84" s="657"/>
      <c r="D84" s="657"/>
      <c r="J84" s="276"/>
      <c r="M84" s="278"/>
      <c r="N84" s="157"/>
      <c r="O84" s="304"/>
      <c r="P84" s="304"/>
    </row>
    <row r="85" spans="3:16" s="159" customFormat="1" x14ac:dyDescent="0.2">
      <c r="C85" s="657"/>
      <c r="D85" s="657"/>
      <c r="J85" s="276"/>
      <c r="M85" s="278"/>
      <c r="N85" s="157"/>
      <c r="O85" s="304"/>
      <c r="P85" s="304"/>
    </row>
    <row r="86" spans="3:16" s="159" customFormat="1" x14ac:dyDescent="0.2">
      <c r="C86" s="657"/>
      <c r="D86" s="657"/>
      <c r="J86" s="276"/>
      <c r="M86" s="278"/>
      <c r="N86" s="157"/>
      <c r="O86" s="304"/>
      <c r="P86" s="304"/>
    </row>
    <row r="87" spans="3:16" s="159" customFormat="1" x14ac:dyDescent="0.2">
      <c r="C87" s="657"/>
      <c r="D87" s="657"/>
      <c r="J87" s="276"/>
      <c r="M87" s="278"/>
      <c r="N87" s="157"/>
      <c r="O87" s="304"/>
      <c r="P87" s="304"/>
    </row>
    <row r="88" spans="3:16" s="159" customFormat="1" x14ac:dyDescent="0.2">
      <c r="C88" s="657"/>
      <c r="D88" s="657"/>
      <c r="J88" s="276"/>
      <c r="M88" s="278"/>
      <c r="N88" s="157"/>
      <c r="O88" s="304"/>
      <c r="P88" s="304"/>
    </row>
    <row r="89" spans="3:16" s="159" customFormat="1" x14ac:dyDescent="0.2">
      <c r="C89" s="657"/>
      <c r="D89" s="657"/>
      <c r="J89" s="276"/>
      <c r="M89" s="278"/>
      <c r="N89" s="157"/>
      <c r="O89" s="304"/>
      <c r="P89" s="304"/>
    </row>
    <row r="90" spans="3:16" s="159" customFormat="1" x14ac:dyDescent="0.2">
      <c r="C90" s="657"/>
      <c r="D90" s="657"/>
      <c r="J90" s="276"/>
      <c r="M90" s="278"/>
      <c r="N90" s="157"/>
      <c r="O90" s="304"/>
      <c r="P90" s="304"/>
    </row>
    <row r="91" spans="3:16" s="159" customFormat="1" x14ac:dyDescent="0.2">
      <c r="C91" s="657"/>
      <c r="D91" s="657"/>
      <c r="J91" s="276"/>
      <c r="M91" s="278"/>
      <c r="N91" s="157"/>
      <c r="O91" s="304"/>
      <c r="P91" s="304"/>
    </row>
    <row r="92" spans="3:16" s="159" customFormat="1" x14ac:dyDescent="0.2">
      <c r="C92" s="657"/>
      <c r="D92" s="657"/>
      <c r="J92" s="276"/>
      <c r="M92" s="278"/>
      <c r="N92" s="157"/>
      <c r="O92" s="304"/>
      <c r="P92" s="304"/>
    </row>
    <row r="93" spans="3:16" s="159" customFormat="1" x14ac:dyDescent="0.2">
      <c r="C93" s="657"/>
      <c r="D93" s="657"/>
      <c r="J93" s="276"/>
      <c r="M93" s="278"/>
      <c r="N93" s="157"/>
      <c r="O93" s="304"/>
      <c r="P93" s="304"/>
    </row>
    <row r="94" spans="3:16" s="159" customFormat="1" x14ac:dyDescent="0.2">
      <c r="C94" s="657"/>
      <c r="D94" s="657"/>
      <c r="J94" s="276"/>
      <c r="M94" s="278"/>
      <c r="N94" s="157"/>
      <c r="O94" s="304"/>
      <c r="P94" s="304"/>
    </row>
    <row r="95" spans="3:16" s="159" customFormat="1" x14ac:dyDescent="0.2">
      <c r="C95" s="657"/>
      <c r="D95" s="657"/>
      <c r="J95" s="276"/>
      <c r="M95" s="278"/>
      <c r="N95" s="157"/>
      <c r="O95" s="304"/>
      <c r="P95" s="304"/>
    </row>
    <row r="96" spans="3:16" s="159" customFormat="1" x14ac:dyDescent="0.2">
      <c r="C96" s="657"/>
      <c r="D96" s="657"/>
      <c r="J96" s="276"/>
      <c r="M96" s="278"/>
      <c r="N96" s="157"/>
      <c r="O96" s="304"/>
      <c r="P96" s="304"/>
    </row>
    <row r="97" spans="3:16" s="159" customFormat="1" x14ac:dyDescent="0.2">
      <c r="C97" s="657"/>
      <c r="D97" s="657"/>
      <c r="J97" s="276"/>
      <c r="M97" s="278"/>
      <c r="N97" s="157"/>
      <c r="O97" s="304"/>
      <c r="P97" s="304"/>
    </row>
    <row r="98" spans="3:16" s="159" customFormat="1" x14ac:dyDescent="0.2">
      <c r="C98" s="657"/>
      <c r="D98" s="657"/>
      <c r="J98" s="276"/>
      <c r="M98" s="278"/>
      <c r="N98" s="157"/>
      <c r="O98" s="304"/>
      <c r="P98" s="304"/>
    </row>
    <row r="99" spans="3:16" s="159" customFormat="1" x14ac:dyDescent="0.2">
      <c r="C99" s="657"/>
      <c r="D99" s="657"/>
      <c r="J99" s="276"/>
      <c r="M99" s="278"/>
      <c r="N99" s="157"/>
      <c r="O99" s="304"/>
      <c r="P99" s="304"/>
    </row>
    <row r="100" spans="3:16" s="159" customFormat="1" x14ac:dyDescent="0.2">
      <c r="C100" s="657"/>
      <c r="D100" s="657"/>
      <c r="J100" s="276"/>
      <c r="M100" s="278"/>
      <c r="N100" s="157"/>
      <c r="O100" s="304"/>
      <c r="P100" s="304"/>
    </row>
    <row r="101" spans="3:16" s="159" customFormat="1" x14ac:dyDescent="0.2">
      <c r="C101" s="657"/>
      <c r="D101" s="657"/>
      <c r="J101" s="276"/>
      <c r="M101" s="278"/>
      <c r="N101" s="157"/>
      <c r="O101" s="304"/>
      <c r="P101" s="304"/>
    </row>
    <row r="102" spans="3:16" s="159" customFormat="1" x14ac:dyDescent="0.2">
      <c r="C102" s="657"/>
      <c r="D102" s="657"/>
      <c r="J102" s="276"/>
      <c r="M102" s="278"/>
      <c r="N102" s="157"/>
      <c r="O102" s="304"/>
      <c r="P102" s="304"/>
    </row>
    <row r="103" spans="3:16" s="159" customFormat="1" x14ac:dyDescent="0.2">
      <c r="C103" s="657"/>
      <c r="D103" s="657"/>
      <c r="J103" s="276"/>
      <c r="M103" s="278"/>
      <c r="N103" s="157"/>
      <c r="O103" s="304"/>
      <c r="P103" s="304"/>
    </row>
    <row r="104" spans="3:16" s="159" customFormat="1" x14ac:dyDescent="0.2">
      <c r="C104" s="657"/>
      <c r="D104" s="657"/>
      <c r="J104" s="276"/>
      <c r="M104" s="278"/>
      <c r="N104" s="157"/>
      <c r="O104" s="304"/>
      <c r="P104" s="304"/>
    </row>
    <row r="105" spans="3:16" s="159" customFormat="1" x14ac:dyDescent="0.2">
      <c r="C105" s="657"/>
      <c r="D105" s="657"/>
      <c r="J105" s="276"/>
      <c r="M105" s="278"/>
      <c r="N105" s="157"/>
      <c r="O105" s="304"/>
      <c r="P105" s="304"/>
    </row>
    <row r="106" spans="3:16" s="159" customFormat="1" x14ac:dyDescent="0.2">
      <c r="C106" s="657"/>
      <c r="D106" s="657"/>
      <c r="J106" s="276"/>
      <c r="M106" s="278"/>
      <c r="N106" s="157"/>
      <c r="O106" s="304"/>
      <c r="P106" s="304"/>
    </row>
    <row r="107" spans="3:16" s="159" customFormat="1" x14ac:dyDescent="0.2">
      <c r="C107" s="657"/>
      <c r="D107" s="657"/>
      <c r="J107" s="276"/>
      <c r="M107" s="278"/>
      <c r="N107" s="157"/>
      <c r="O107" s="304"/>
      <c r="P107" s="304"/>
    </row>
    <row r="108" spans="3:16" s="159" customFormat="1" x14ac:dyDescent="0.2">
      <c r="C108" s="657"/>
      <c r="D108" s="657"/>
      <c r="J108" s="276"/>
      <c r="M108" s="278"/>
      <c r="N108" s="157"/>
      <c r="O108" s="304"/>
      <c r="P108" s="304"/>
    </row>
    <row r="109" spans="3:16" s="159" customFormat="1" x14ac:dyDescent="0.2">
      <c r="C109" s="657"/>
      <c r="D109" s="657"/>
      <c r="J109" s="276"/>
      <c r="M109" s="278"/>
      <c r="N109" s="157"/>
      <c r="O109" s="304"/>
      <c r="P109" s="304"/>
    </row>
    <row r="110" spans="3:16" s="159" customFormat="1" x14ac:dyDescent="0.2">
      <c r="C110" s="657"/>
      <c r="D110" s="657"/>
      <c r="J110" s="276"/>
      <c r="M110" s="278"/>
      <c r="N110" s="157"/>
      <c r="O110" s="304"/>
      <c r="P110" s="304"/>
    </row>
    <row r="111" spans="3:16" s="159" customFormat="1" x14ac:dyDescent="0.2">
      <c r="C111" s="657"/>
      <c r="D111" s="657"/>
      <c r="J111" s="276"/>
      <c r="M111" s="278"/>
      <c r="N111" s="157"/>
      <c r="O111" s="304"/>
      <c r="P111" s="304"/>
    </row>
    <row r="112" spans="3:16" s="159" customFormat="1" x14ac:dyDescent="0.2">
      <c r="C112" s="657"/>
      <c r="D112" s="657"/>
      <c r="J112" s="276"/>
      <c r="M112" s="278"/>
      <c r="N112" s="157"/>
      <c r="O112" s="304"/>
      <c r="P112" s="304"/>
    </row>
    <row r="113" spans="3:16" s="159" customFormat="1" x14ac:dyDescent="0.2">
      <c r="C113" s="657"/>
      <c r="D113" s="657"/>
      <c r="J113" s="276"/>
      <c r="M113" s="278"/>
      <c r="N113" s="157"/>
      <c r="O113" s="304"/>
      <c r="P113" s="304"/>
    </row>
    <row r="114" spans="3:16" s="159" customFormat="1" x14ac:dyDescent="0.2">
      <c r="C114" s="657"/>
      <c r="D114" s="657"/>
      <c r="J114" s="276"/>
      <c r="M114" s="278"/>
      <c r="N114" s="157"/>
      <c r="O114" s="304"/>
      <c r="P114" s="304"/>
    </row>
    <row r="115" spans="3:16" s="159" customFormat="1" x14ac:dyDescent="0.2">
      <c r="C115" s="657"/>
      <c r="D115" s="657"/>
      <c r="J115" s="276"/>
      <c r="M115" s="278"/>
      <c r="N115" s="157"/>
      <c r="O115" s="304"/>
      <c r="P115" s="304"/>
    </row>
    <row r="116" spans="3:16" s="159" customFormat="1" x14ac:dyDescent="0.2">
      <c r="C116" s="657"/>
      <c r="D116" s="657"/>
      <c r="J116" s="276"/>
      <c r="M116" s="278"/>
      <c r="N116" s="157"/>
      <c r="O116" s="304"/>
      <c r="P116" s="304"/>
    </row>
    <row r="117" spans="3:16" s="159" customFormat="1" x14ac:dyDescent="0.2">
      <c r="C117" s="657"/>
      <c r="D117" s="657"/>
      <c r="J117" s="276"/>
      <c r="M117" s="278"/>
      <c r="N117" s="157"/>
      <c r="O117" s="304"/>
      <c r="P117" s="304"/>
    </row>
    <row r="118" spans="3:16" s="159" customFormat="1" x14ac:dyDescent="0.2">
      <c r="C118" s="657"/>
      <c r="D118" s="657"/>
      <c r="J118" s="276"/>
      <c r="M118" s="278"/>
      <c r="N118" s="157"/>
      <c r="O118" s="304"/>
      <c r="P118" s="304"/>
    </row>
    <row r="119" spans="3:16" s="159" customFormat="1" x14ac:dyDescent="0.2">
      <c r="C119" s="657"/>
      <c r="D119" s="657"/>
      <c r="J119" s="276"/>
      <c r="M119" s="278"/>
      <c r="N119" s="157"/>
      <c r="O119" s="304"/>
      <c r="P119" s="304"/>
    </row>
    <row r="120" spans="3:16" s="159" customFormat="1" x14ac:dyDescent="0.2">
      <c r="C120" s="657"/>
      <c r="D120" s="657"/>
      <c r="J120" s="276"/>
      <c r="M120" s="278"/>
      <c r="N120" s="157"/>
      <c r="O120" s="304"/>
      <c r="P120" s="304"/>
    </row>
    <row r="121" spans="3:16" s="159" customFormat="1" x14ac:dyDescent="0.2">
      <c r="C121" s="657"/>
      <c r="D121" s="657"/>
      <c r="J121" s="276"/>
      <c r="M121" s="278"/>
      <c r="N121" s="157"/>
      <c r="O121" s="304"/>
      <c r="P121" s="304"/>
    </row>
    <row r="122" spans="3:16" s="159" customFormat="1" x14ac:dyDescent="0.2">
      <c r="C122" s="657"/>
      <c r="D122" s="657"/>
      <c r="J122" s="276"/>
      <c r="M122" s="278"/>
      <c r="N122" s="157"/>
      <c r="O122" s="304"/>
      <c r="P122" s="304"/>
    </row>
    <row r="123" spans="3:16" s="159" customFormat="1" x14ac:dyDescent="0.2">
      <c r="C123" s="657"/>
      <c r="D123" s="657"/>
      <c r="J123" s="276"/>
      <c r="M123" s="278"/>
      <c r="N123" s="157"/>
      <c r="O123" s="304"/>
      <c r="P123" s="304"/>
    </row>
    <row r="124" spans="3:16" s="159" customFormat="1" x14ac:dyDescent="0.2">
      <c r="C124" s="657"/>
      <c r="D124" s="657"/>
      <c r="J124" s="276"/>
      <c r="M124" s="278"/>
      <c r="N124" s="157"/>
      <c r="O124" s="304"/>
      <c r="P124" s="304"/>
    </row>
    <row r="125" spans="3:16" s="159" customFormat="1" x14ac:dyDescent="0.2">
      <c r="C125" s="657"/>
      <c r="D125" s="657"/>
      <c r="J125" s="276"/>
      <c r="M125" s="278"/>
      <c r="N125" s="157"/>
      <c r="O125" s="304"/>
      <c r="P125" s="304"/>
    </row>
    <row r="126" spans="3:16" s="159" customFormat="1" x14ac:dyDescent="0.2">
      <c r="C126" s="657"/>
      <c r="D126" s="657"/>
      <c r="J126" s="276"/>
      <c r="M126" s="278"/>
      <c r="N126" s="157"/>
      <c r="O126" s="304"/>
      <c r="P126" s="304"/>
    </row>
    <row r="127" spans="3:16" s="159" customFormat="1" x14ac:dyDescent="0.2">
      <c r="C127" s="657"/>
      <c r="D127" s="657"/>
      <c r="J127" s="276"/>
      <c r="M127" s="278"/>
      <c r="N127" s="157"/>
      <c r="O127" s="304"/>
      <c r="P127" s="304"/>
    </row>
    <row r="128" spans="3:16" s="159" customFormat="1" x14ac:dyDescent="0.2">
      <c r="C128" s="657"/>
      <c r="D128" s="657"/>
      <c r="J128" s="276"/>
      <c r="M128" s="278"/>
      <c r="N128" s="157"/>
      <c r="O128" s="304"/>
      <c r="P128" s="304"/>
    </row>
    <row r="129" spans="3:16" s="159" customFormat="1" x14ac:dyDescent="0.2">
      <c r="C129" s="657"/>
      <c r="D129" s="657"/>
      <c r="J129" s="276"/>
      <c r="M129" s="278"/>
      <c r="N129" s="157"/>
      <c r="O129" s="304"/>
      <c r="P129" s="304"/>
    </row>
    <row r="130" spans="3:16" s="159" customFormat="1" x14ac:dyDescent="0.2">
      <c r="C130" s="657"/>
      <c r="D130" s="657"/>
      <c r="J130" s="276"/>
      <c r="M130" s="278"/>
      <c r="N130" s="157"/>
      <c r="O130" s="304"/>
      <c r="P130" s="304"/>
    </row>
    <row r="131" spans="3:16" s="159" customFormat="1" x14ac:dyDescent="0.2">
      <c r="C131" s="657"/>
      <c r="D131" s="657"/>
      <c r="J131" s="276"/>
      <c r="M131" s="278"/>
      <c r="N131" s="157"/>
      <c r="O131" s="304"/>
      <c r="P131" s="304"/>
    </row>
    <row r="132" spans="3:16" s="159" customFormat="1" x14ac:dyDescent="0.2">
      <c r="C132" s="657"/>
      <c r="D132" s="657"/>
      <c r="J132" s="276"/>
      <c r="M132" s="278"/>
      <c r="N132" s="157"/>
      <c r="O132" s="304"/>
      <c r="P132" s="304"/>
    </row>
    <row r="133" spans="3:16" s="159" customFormat="1" x14ac:dyDescent="0.2">
      <c r="C133" s="657"/>
      <c r="D133" s="657"/>
      <c r="J133" s="276"/>
      <c r="M133" s="278"/>
      <c r="N133" s="157"/>
      <c r="O133" s="304"/>
      <c r="P133" s="304"/>
    </row>
    <row r="134" spans="3:16" s="159" customFormat="1" x14ac:dyDescent="0.2">
      <c r="C134" s="657"/>
      <c r="D134" s="657"/>
      <c r="J134" s="276"/>
      <c r="M134" s="278"/>
      <c r="N134" s="157"/>
      <c r="O134" s="304"/>
      <c r="P134" s="304"/>
    </row>
    <row r="135" spans="3:16" s="159" customFormat="1" x14ac:dyDescent="0.2">
      <c r="C135" s="657"/>
      <c r="D135" s="657"/>
      <c r="J135" s="276"/>
      <c r="M135" s="278"/>
      <c r="N135" s="157"/>
      <c r="O135" s="304"/>
      <c r="P135" s="304"/>
    </row>
    <row r="136" spans="3:16" s="159" customFormat="1" x14ac:dyDescent="0.2">
      <c r="C136" s="657"/>
      <c r="D136" s="657"/>
      <c r="J136" s="276"/>
      <c r="M136" s="278"/>
      <c r="N136" s="157"/>
      <c r="O136" s="304"/>
      <c r="P136" s="304"/>
    </row>
    <row r="137" spans="3:16" s="159" customFormat="1" x14ac:dyDescent="0.2">
      <c r="C137" s="657"/>
      <c r="D137" s="657"/>
      <c r="J137" s="276"/>
      <c r="M137" s="278"/>
      <c r="N137" s="157"/>
      <c r="O137" s="304"/>
      <c r="P137" s="304"/>
    </row>
    <row r="138" spans="3:16" s="159" customFormat="1" x14ac:dyDescent="0.2">
      <c r="C138" s="657"/>
      <c r="D138" s="657"/>
      <c r="J138" s="276"/>
      <c r="M138" s="278"/>
      <c r="N138" s="157"/>
      <c r="O138" s="304"/>
      <c r="P138" s="304"/>
    </row>
    <row r="139" spans="3:16" s="159" customFormat="1" x14ac:dyDescent="0.2">
      <c r="C139" s="657"/>
      <c r="D139" s="657"/>
      <c r="J139" s="276"/>
      <c r="M139" s="278"/>
      <c r="N139" s="157"/>
      <c r="O139" s="304"/>
      <c r="P139" s="304"/>
    </row>
    <row r="140" spans="3:16" s="159" customFormat="1" x14ac:dyDescent="0.2">
      <c r="C140" s="657"/>
      <c r="D140" s="657"/>
      <c r="J140" s="276"/>
      <c r="M140" s="278"/>
      <c r="N140" s="157"/>
      <c r="O140" s="304"/>
      <c r="P140" s="304"/>
    </row>
    <row r="141" spans="3:16" s="159" customFormat="1" x14ac:dyDescent="0.2">
      <c r="C141" s="657"/>
      <c r="D141" s="657"/>
      <c r="J141" s="276"/>
      <c r="M141" s="278"/>
      <c r="N141" s="157"/>
      <c r="O141" s="304"/>
      <c r="P141" s="304"/>
    </row>
    <row r="142" spans="3:16" s="159" customFormat="1" x14ac:dyDescent="0.2">
      <c r="C142" s="657"/>
      <c r="D142" s="657"/>
      <c r="J142" s="276"/>
      <c r="M142" s="278"/>
      <c r="N142" s="157"/>
      <c r="O142" s="304"/>
      <c r="P142" s="304"/>
    </row>
    <row r="143" spans="3:16" s="159" customFormat="1" x14ac:dyDescent="0.2">
      <c r="C143" s="657"/>
      <c r="D143" s="657"/>
      <c r="J143" s="276"/>
      <c r="M143" s="278"/>
      <c r="N143" s="157"/>
      <c r="O143" s="304"/>
      <c r="P143" s="304"/>
    </row>
    <row r="144" spans="3:16" s="159" customFormat="1" x14ac:dyDescent="0.2">
      <c r="C144" s="657"/>
      <c r="D144" s="657"/>
      <c r="J144" s="276"/>
      <c r="M144" s="278"/>
      <c r="N144" s="157"/>
      <c r="O144" s="304"/>
      <c r="P144" s="304"/>
    </row>
    <row r="145" spans="3:16" s="159" customFormat="1" x14ac:dyDescent="0.2">
      <c r="C145" s="657"/>
      <c r="D145" s="657"/>
      <c r="J145" s="276"/>
      <c r="M145" s="278"/>
      <c r="N145" s="157"/>
      <c r="O145" s="304"/>
      <c r="P145" s="304"/>
    </row>
    <row r="146" spans="3:16" s="159" customFormat="1" x14ac:dyDescent="0.2">
      <c r="C146" s="657"/>
      <c r="D146" s="657"/>
      <c r="J146" s="276"/>
      <c r="M146" s="278"/>
      <c r="N146" s="157"/>
      <c r="O146" s="304"/>
      <c r="P146" s="304"/>
    </row>
    <row r="147" spans="3:16" s="159" customFormat="1" x14ac:dyDescent="0.2">
      <c r="C147" s="657"/>
      <c r="D147" s="657"/>
      <c r="J147" s="276"/>
      <c r="M147" s="278"/>
      <c r="N147" s="157"/>
      <c r="O147" s="304"/>
      <c r="P147" s="304"/>
    </row>
    <row r="148" spans="3:16" s="159" customFormat="1" x14ac:dyDescent="0.2">
      <c r="C148" s="657"/>
      <c r="D148" s="657"/>
      <c r="J148" s="276"/>
      <c r="M148" s="278"/>
      <c r="N148" s="157"/>
      <c r="O148" s="304"/>
      <c r="P148" s="304"/>
    </row>
    <row r="149" spans="3:16" s="159" customFormat="1" x14ac:dyDescent="0.2">
      <c r="C149" s="657"/>
      <c r="D149" s="657"/>
      <c r="J149" s="276"/>
      <c r="M149" s="278"/>
      <c r="N149" s="157"/>
      <c r="O149" s="304"/>
      <c r="P149" s="304"/>
    </row>
    <row r="150" spans="3:16" s="159" customFormat="1" x14ac:dyDescent="0.2">
      <c r="C150" s="657"/>
      <c r="D150" s="657"/>
      <c r="J150" s="276"/>
      <c r="M150" s="278"/>
      <c r="N150" s="157"/>
      <c r="O150" s="304"/>
      <c r="P150" s="304"/>
    </row>
    <row r="151" spans="3:16" s="159" customFormat="1" x14ac:dyDescent="0.2">
      <c r="C151" s="657"/>
      <c r="D151" s="657"/>
      <c r="J151" s="276"/>
      <c r="M151" s="278"/>
      <c r="N151" s="157"/>
      <c r="O151" s="304"/>
      <c r="P151" s="304"/>
    </row>
    <row r="152" spans="3:16" s="159" customFormat="1" x14ac:dyDescent="0.2">
      <c r="C152" s="657"/>
      <c r="D152" s="657"/>
      <c r="J152" s="276"/>
      <c r="M152" s="278"/>
      <c r="N152" s="157"/>
      <c r="O152" s="304"/>
      <c r="P152" s="304"/>
    </row>
    <row r="153" spans="3:16" s="159" customFormat="1" x14ac:dyDescent="0.2">
      <c r="C153" s="657"/>
      <c r="D153" s="657"/>
      <c r="J153" s="276"/>
      <c r="M153" s="278"/>
      <c r="N153" s="157"/>
      <c r="O153" s="304"/>
      <c r="P153" s="304"/>
    </row>
    <row r="154" spans="3:16" s="159" customFormat="1" x14ac:dyDescent="0.2">
      <c r="C154" s="657"/>
      <c r="D154" s="657"/>
      <c r="J154" s="276"/>
      <c r="M154" s="278"/>
      <c r="N154" s="157"/>
      <c r="O154" s="304"/>
      <c r="P154" s="304"/>
    </row>
    <row r="155" spans="3:16" s="159" customFormat="1" x14ac:dyDescent="0.2">
      <c r="C155" s="657"/>
      <c r="D155" s="657"/>
      <c r="J155" s="276"/>
      <c r="M155" s="278"/>
      <c r="N155" s="157"/>
      <c r="O155" s="304"/>
      <c r="P155" s="304"/>
    </row>
    <row r="156" spans="3:16" s="159" customFormat="1" x14ac:dyDescent="0.2">
      <c r="C156" s="657"/>
      <c r="D156" s="657"/>
      <c r="J156" s="276"/>
      <c r="M156" s="278"/>
      <c r="N156" s="157"/>
      <c r="O156" s="304"/>
      <c r="P156" s="304"/>
    </row>
    <row r="157" spans="3:16" s="159" customFormat="1" x14ac:dyDescent="0.2">
      <c r="C157" s="657"/>
      <c r="D157" s="657"/>
      <c r="J157" s="276"/>
      <c r="M157" s="278"/>
      <c r="N157" s="157"/>
      <c r="O157" s="304"/>
      <c r="P157" s="304"/>
    </row>
    <row r="158" spans="3:16" s="159" customFormat="1" x14ac:dyDescent="0.2">
      <c r="C158" s="657"/>
      <c r="D158" s="657"/>
      <c r="J158" s="276"/>
      <c r="M158" s="278"/>
      <c r="N158" s="157"/>
      <c r="O158" s="304"/>
      <c r="P158" s="304"/>
    </row>
    <row r="159" spans="3:16" s="159" customFormat="1" x14ac:dyDescent="0.2">
      <c r="C159" s="657"/>
      <c r="D159" s="657"/>
      <c r="J159" s="276"/>
      <c r="M159" s="278"/>
      <c r="N159" s="157"/>
      <c r="O159" s="304"/>
      <c r="P159" s="304"/>
    </row>
    <row r="160" spans="3:16" s="159" customFormat="1" x14ac:dyDescent="0.2">
      <c r="C160" s="657"/>
      <c r="D160" s="657"/>
      <c r="J160" s="276"/>
      <c r="M160" s="278"/>
      <c r="N160" s="157"/>
      <c r="O160" s="304"/>
      <c r="P160" s="304"/>
    </row>
    <row r="161" spans="3:16" s="159" customFormat="1" x14ac:dyDescent="0.2">
      <c r="C161" s="657"/>
      <c r="D161" s="657"/>
      <c r="J161" s="276"/>
      <c r="M161" s="278"/>
      <c r="N161" s="157"/>
      <c r="O161" s="304"/>
      <c r="P161" s="304"/>
    </row>
    <row r="162" spans="3:16" s="159" customFormat="1" x14ac:dyDescent="0.2">
      <c r="C162" s="657"/>
      <c r="D162" s="657"/>
      <c r="J162" s="276"/>
      <c r="M162" s="278"/>
      <c r="N162" s="157"/>
      <c r="O162" s="304"/>
      <c r="P162" s="304"/>
    </row>
    <row r="163" spans="3:16" s="159" customFormat="1" x14ac:dyDescent="0.2">
      <c r="C163" s="657"/>
      <c r="D163" s="657"/>
      <c r="J163" s="276"/>
      <c r="M163" s="278"/>
      <c r="N163" s="157"/>
      <c r="O163" s="304"/>
      <c r="P163" s="304"/>
    </row>
    <row r="164" spans="3:16" s="159" customFormat="1" x14ac:dyDescent="0.2">
      <c r="C164" s="657"/>
      <c r="D164" s="657"/>
      <c r="J164" s="276"/>
      <c r="M164" s="278"/>
      <c r="N164" s="157"/>
      <c r="O164" s="304"/>
      <c r="P164" s="304"/>
    </row>
    <row r="165" spans="3:16" s="159" customFormat="1" x14ac:dyDescent="0.2">
      <c r="C165" s="657"/>
      <c r="D165" s="657"/>
      <c r="J165" s="276"/>
      <c r="M165" s="278"/>
      <c r="N165" s="157"/>
      <c r="O165" s="304"/>
      <c r="P165" s="304"/>
    </row>
    <row r="166" spans="3:16" s="159" customFormat="1" x14ac:dyDescent="0.2">
      <c r="C166" s="657"/>
      <c r="D166" s="657"/>
      <c r="J166" s="276"/>
      <c r="M166" s="278"/>
      <c r="N166" s="157"/>
      <c r="O166" s="304"/>
      <c r="P166" s="304"/>
    </row>
    <row r="167" spans="3:16" s="159" customFormat="1" x14ac:dyDescent="0.2">
      <c r="C167" s="657"/>
      <c r="D167" s="657"/>
      <c r="J167" s="276"/>
      <c r="M167" s="278"/>
      <c r="N167" s="157"/>
      <c r="O167" s="304"/>
      <c r="P167" s="304"/>
    </row>
    <row r="168" spans="3:16" s="159" customFormat="1" x14ac:dyDescent="0.2">
      <c r="C168" s="657"/>
      <c r="D168" s="657"/>
      <c r="J168" s="276"/>
      <c r="M168" s="278"/>
      <c r="N168" s="157"/>
      <c r="O168" s="304"/>
      <c r="P168" s="304"/>
    </row>
    <row r="169" spans="3:16" s="159" customFormat="1" x14ac:dyDescent="0.2">
      <c r="C169" s="657"/>
      <c r="D169" s="657"/>
      <c r="J169" s="276"/>
      <c r="M169" s="278"/>
      <c r="N169" s="157"/>
      <c r="O169" s="304"/>
      <c r="P169" s="304"/>
    </row>
    <row r="170" spans="3:16" s="159" customFormat="1" x14ac:dyDescent="0.2">
      <c r="C170" s="657"/>
      <c r="D170" s="657"/>
      <c r="J170" s="276"/>
      <c r="M170" s="278"/>
      <c r="N170" s="157"/>
      <c r="O170" s="304"/>
      <c r="P170" s="304"/>
    </row>
    <row r="171" spans="3:16" s="159" customFormat="1" x14ac:dyDescent="0.2">
      <c r="C171" s="657"/>
      <c r="D171" s="657"/>
      <c r="J171" s="276"/>
      <c r="M171" s="278"/>
      <c r="N171" s="157"/>
      <c r="O171" s="304"/>
      <c r="P171" s="304"/>
    </row>
    <row r="172" spans="3:16" s="159" customFormat="1" x14ac:dyDescent="0.2">
      <c r="C172" s="657"/>
      <c r="D172" s="657"/>
      <c r="J172" s="276"/>
      <c r="M172" s="278"/>
      <c r="N172" s="157"/>
      <c r="O172" s="304"/>
      <c r="P172" s="304"/>
    </row>
    <row r="173" spans="3:16" s="159" customFormat="1" x14ac:dyDescent="0.2">
      <c r="C173" s="657"/>
      <c r="D173" s="657"/>
      <c r="J173" s="276"/>
      <c r="M173" s="278"/>
      <c r="N173" s="157"/>
      <c r="O173" s="304"/>
      <c r="P173" s="304"/>
    </row>
    <row r="174" spans="3:16" s="159" customFormat="1" x14ac:dyDescent="0.2">
      <c r="C174" s="657"/>
      <c r="D174" s="657"/>
      <c r="J174" s="276"/>
      <c r="M174" s="278"/>
      <c r="N174" s="157"/>
      <c r="O174" s="304"/>
      <c r="P174" s="304"/>
    </row>
    <row r="175" spans="3:16" s="159" customFormat="1" x14ac:dyDescent="0.2">
      <c r="C175" s="657"/>
      <c r="D175" s="657"/>
      <c r="J175" s="276"/>
      <c r="M175" s="278"/>
      <c r="N175" s="157"/>
      <c r="O175" s="304"/>
      <c r="P175" s="304"/>
    </row>
    <row r="176" spans="3:16" s="159" customFormat="1" x14ac:dyDescent="0.2">
      <c r="C176" s="657"/>
      <c r="D176" s="657"/>
      <c r="J176" s="276"/>
      <c r="M176" s="278"/>
      <c r="N176" s="157"/>
      <c r="O176" s="304"/>
      <c r="P176" s="304"/>
    </row>
    <row r="177" spans="3:16" s="159" customFormat="1" x14ac:dyDescent="0.2">
      <c r="C177" s="657"/>
      <c r="D177" s="657"/>
      <c r="J177" s="276"/>
      <c r="M177" s="278"/>
      <c r="N177" s="157"/>
      <c r="O177" s="304"/>
      <c r="P177" s="304"/>
    </row>
    <row r="178" spans="3:16" s="159" customFormat="1" x14ac:dyDescent="0.2">
      <c r="C178" s="657"/>
      <c r="D178" s="657"/>
      <c r="J178" s="276"/>
      <c r="M178" s="278"/>
      <c r="N178" s="157"/>
      <c r="O178" s="304"/>
      <c r="P178" s="304"/>
    </row>
    <row r="179" spans="3:16" s="159" customFormat="1" x14ac:dyDescent="0.2">
      <c r="C179" s="657"/>
      <c r="D179" s="657"/>
      <c r="J179" s="276"/>
      <c r="M179" s="278"/>
      <c r="N179" s="157"/>
      <c r="O179" s="304"/>
      <c r="P179" s="304"/>
    </row>
    <row r="180" spans="3:16" s="159" customFormat="1" x14ac:dyDescent="0.2">
      <c r="C180" s="657"/>
      <c r="D180" s="657"/>
      <c r="J180" s="276"/>
      <c r="M180" s="278"/>
      <c r="N180" s="157"/>
      <c r="O180" s="304"/>
      <c r="P180" s="304"/>
    </row>
    <row r="181" spans="3:16" s="159" customFormat="1" x14ac:dyDescent="0.2">
      <c r="C181" s="657"/>
      <c r="D181" s="657"/>
      <c r="J181" s="276"/>
      <c r="M181" s="278"/>
      <c r="N181" s="157"/>
      <c r="O181" s="304"/>
      <c r="P181" s="304"/>
    </row>
    <row r="182" spans="3:16" s="159" customFormat="1" x14ac:dyDescent="0.2">
      <c r="C182" s="657"/>
      <c r="D182" s="657"/>
      <c r="J182" s="276"/>
      <c r="M182" s="278"/>
      <c r="N182" s="157"/>
      <c r="O182" s="304"/>
      <c r="P182" s="304"/>
    </row>
    <row r="183" spans="3:16" s="159" customFormat="1" x14ac:dyDescent="0.2">
      <c r="C183" s="657"/>
      <c r="D183" s="657"/>
      <c r="J183" s="276"/>
      <c r="M183" s="278"/>
      <c r="N183" s="157"/>
      <c r="O183" s="304"/>
      <c r="P183" s="304"/>
    </row>
    <row r="184" spans="3:16" s="159" customFormat="1" x14ac:dyDescent="0.2">
      <c r="C184" s="657"/>
      <c r="D184" s="657"/>
      <c r="J184" s="276"/>
      <c r="M184" s="278"/>
      <c r="N184" s="157"/>
      <c r="O184" s="304"/>
      <c r="P184" s="304"/>
    </row>
    <row r="185" spans="3:16" s="159" customFormat="1" x14ac:dyDescent="0.2">
      <c r="C185" s="657"/>
      <c r="D185" s="657"/>
      <c r="J185" s="276"/>
      <c r="M185" s="278"/>
      <c r="N185" s="157"/>
      <c r="O185" s="304"/>
      <c r="P185" s="304"/>
    </row>
    <row r="186" spans="3:16" s="159" customFormat="1" x14ac:dyDescent="0.2">
      <c r="C186" s="657"/>
      <c r="D186" s="657"/>
      <c r="J186" s="276"/>
      <c r="M186" s="278"/>
      <c r="N186" s="157"/>
      <c r="O186" s="304"/>
      <c r="P186" s="304"/>
    </row>
    <row r="187" spans="3:16" s="159" customFormat="1" x14ac:dyDescent="0.2">
      <c r="C187" s="657"/>
      <c r="D187" s="657"/>
      <c r="J187" s="276"/>
      <c r="M187" s="278"/>
      <c r="N187" s="157"/>
      <c r="O187" s="304"/>
      <c r="P187" s="304"/>
    </row>
    <row r="188" spans="3:16" s="159" customFormat="1" x14ac:dyDescent="0.2">
      <c r="C188" s="657"/>
      <c r="D188" s="657"/>
      <c r="J188" s="276"/>
      <c r="M188" s="278"/>
      <c r="N188" s="157"/>
      <c r="O188" s="304"/>
      <c r="P188" s="304"/>
    </row>
    <row r="189" spans="3:16" s="159" customFormat="1" x14ac:dyDescent="0.2">
      <c r="C189" s="657"/>
      <c r="D189" s="657"/>
      <c r="J189" s="276"/>
      <c r="M189" s="278"/>
      <c r="N189" s="157"/>
      <c r="O189" s="304"/>
      <c r="P189" s="304"/>
    </row>
    <row r="190" spans="3:16" s="159" customFormat="1" x14ac:dyDescent="0.2">
      <c r="C190" s="657"/>
      <c r="D190" s="657"/>
      <c r="J190" s="276"/>
      <c r="M190" s="278"/>
      <c r="N190" s="157"/>
      <c r="O190" s="304"/>
      <c r="P190" s="304"/>
    </row>
    <row r="191" spans="3:16" s="159" customFormat="1" x14ac:dyDescent="0.2">
      <c r="C191" s="657"/>
      <c r="D191" s="657"/>
      <c r="J191" s="276"/>
      <c r="M191" s="278"/>
      <c r="N191" s="157"/>
      <c r="O191" s="304"/>
      <c r="P191" s="304"/>
    </row>
    <row r="192" spans="3:16" s="159" customFormat="1" x14ac:dyDescent="0.2">
      <c r="C192" s="657"/>
      <c r="D192" s="657"/>
      <c r="J192" s="276"/>
      <c r="M192" s="278"/>
      <c r="N192" s="157"/>
      <c r="O192" s="304"/>
      <c r="P192" s="304"/>
    </row>
    <row r="193" spans="3:16" s="159" customFormat="1" x14ac:dyDescent="0.2">
      <c r="C193" s="657"/>
      <c r="D193" s="657"/>
      <c r="J193" s="276"/>
      <c r="M193" s="278"/>
      <c r="N193" s="157"/>
      <c r="O193" s="304"/>
      <c r="P193" s="304"/>
    </row>
    <row r="194" spans="3:16" s="159" customFormat="1" x14ac:dyDescent="0.2">
      <c r="C194" s="657"/>
      <c r="D194" s="657"/>
      <c r="J194" s="276"/>
      <c r="M194" s="278"/>
      <c r="N194" s="157"/>
      <c r="O194" s="304"/>
      <c r="P194" s="304"/>
    </row>
    <row r="195" spans="3:16" s="159" customFormat="1" x14ac:dyDescent="0.2">
      <c r="C195" s="657"/>
      <c r="D195" s="657"/>
      <c r="J195" s="276"/>
      <c r="M195" s="278"/>
      <c r="N195" s="157"/>
      <c r="O195" s="304"/>
      <c r="P195" s="304"/>
    </row>
    <row r="196" spans="3:16" s="159" customFormat="1" x14ac:dyDescent="0.2">
      <c r="C196" s="657"/>
      <c r="D196" s="657"/>
      <c r="J196" s="276"/>
      <c r="M196" s="278"/>
      <c r="N196" s="157"/>
      <c r="O196" s="304"/>
      <c r="P196" s="304"/>
    </row>
    <row r="197" spans="3:16" s="159" customFormat="1" x14ac:dyDescent="0.2">
      <c r="C197" s="657"/>
      <c r="D197" s="657"/>
      <c r="J197" s="276"/>
      <c r="M197" s="278"/>
      <c r="N197" s="157"/>
      <c r="O197" s="304"/>
      <c r="P197" s="304"/>
    </row>
    <row r="198" spans="3:16" s="159" customFormat="1" x14ac:dyDescent="0.2">
      <c r="C198" s="657"/>
      <c r="D198" s="657"/>
      <c r="J198" s="276"/>
      <c r="M198" s="278"/>
      <c r="N198" s="157"/>
      <c r="O198" s="304"/>
      <c r="P198" s="304"/>
    </row>
    <row r="199" spans="3:16" s="159" customFormat="1" x14ac:dyDescent="0.2">
      <c r="C199" s="657"/>
      <c r="D199" s="657"/>
      <c r="J199" s="276"/>
      <c r="M199" s="278"/>
      <c r="N199" s="157"/>
      <c r="O199" s="304"/>
      <c r="P199" s="304"/>
    </row>
    <row r="200" spans="3:16" s="159" customFormat="1" x14ac:dyDescent="0.2">
      <c r="C200" s="657"/>
      <c r="D200" s="657"/>
      <c r="J200" s="276"/>
      <c r="M200" s="278"/>
      <c r="N200" s="157"/>
      <c r="O200" s="304"/>
      <c r="P200" s="304"/>
    </row>
    <row r="201" spans="3:16" s="159" customFormat="1" x14ac:dyDescent="0.2">
      <c r="C201" s="657"/>
      <c r="D201" s="657"/>
      <c r="J201" s="276"/>
      <c r="M201" s="278"/>
      <c r="N201" s="157"/>
      <c r="O201" s="304"/>
      <c r="P201" s="304"/>
    </row>
    <row r="202" spans="3:16" s="159" customFormat="1" x14ac:dyDescent="0.2">
      <c r="C202" s="657"/>
      <c r="D202" s="657"/>
      <c r="J202" s="276"/>
      <c r="M202" s="278"/>
      <c r="N202" s="157"/>
      <c r="O202" s="304"/>
      <c r="P202" s="304"/>
    </row>
    <row r="203" spans="3:16" s="159" customFormat="1" x14ac:dyDescent="0.2">
      <c r="C203" s="657"/>
      <c r="D203" s="657"/>
      <c r="J203" s="276"/>
      <c r="M203" s="278"/>
      <c r="N203" s="157"/>
      <c r="O203" s="304"/>
      <c r="P203" s="304"/>
    </row>
    <row r="204" spans="3:16" s="159" customFormat="1" x14ac:dyDescent="0.2">
      <c r="C204" s="657"/>
      <c r="D204" s="657"/>
      <c r="J204" s="276"/>
      <c r="M204" s="278"/>
      <c r="N204" s="157"/>
      <c r="O204" s="304"/>
      <c r="P204" s="304"/>
    </row>
    <row r="205" spans="3:16" s="159" customFormat="1" x14ac:dyDescent="0.2">
      <c r="C205" s="657"/>
      <c r="D205" s="657"/>
      <c r="J205" s="276"/>
      <c r="M205" s="278"/>
      <c r="N205" s="157"/>
      <c r="O205" s="304"/>
      <c r="P205" s="304"/>
    </row>
    <row r="206" spans="3:16" s="159" customFormat="1" x14ac:dyDescent="0.2">
      <c r="C206" s="657"/>
      <c r="D206" s="657"/>
      <c r="J206" s="276"/>
      <c r="M206" s="278"/>
      <c r="N206" s="157"/>
      <c r="O206" s="304"/>
      <c r="P206" s="304"/>
    </row>
    <row r="207" spans="3:16" s="159" customFormat="1" x14ac:dyDescent="0.2">
      <c r="C207" s="657"/>
      <c r="D207" s="657"/>
      <c r="J207" s="276"/>
      <c r="M207" s="278"/>
      <c r="N207" s="157"/>
      <c r="O207" s="304"/>
      <c r="P207" s="304"/>
    </row>
    <row r="208" spans="3:16" s="159" customFormat="1" x14ac:dyDescent="0.2">
      <c r="C208" s="657"/>
      <c r="D208" s="657"/>
      <c r="J208" s="276"/>
      <c r="M208" s="278"/>
      <c r="N208" s="157"/>
      <c r="O208" s="304"/>
      <c r="P208" s="304"/>
    </row>
    <row r="209" spans="3:16" s="159" customFormat="1" x14ac:dyDescent="0.2">
      <c r="C209" s="657"/>
      <c r="D209" s="657"/>
      <c r="J209" s="276"/>
      <c r="M209" s="278"/>
      <c r="N209" s="157"/>
      <c r="O209" s="304"/>
      <c r="P209" s="304"/>
    </row>
    <row r="210" spans="3:16" s="159" customFormat="1" x14ac:dyDescent="0.2">
      <c r="C210" s="657"/>
      <c r="D210" s="657"/>
      <c r="J210" s="276"/>
      <c r="M210" s="278"/>
      <c r="N210" s="157"/>
      <c r="O210" s="304"/>
      <c r="P210" s="304"/>
    </row>
    <row r="211" spans="3:16" s="159" customFormat="1" x14ac:dyDescent="0.2">
      <c r="C211" s="657"/>
      <c r="D211" s="657"/>
      <c r="J211" s="276"/>
      <c r="M211" s="278"/>
      <c r="N211" s="157"/>
      <c r="O211" s="304"/>
      <c r="P211" s="304"/>
    </row>
    <row r="212" spans="3:16" s="159" customFormat="1" x14ac:dyDescent="0.2">
      <c r="C212" s="657"/>
      <c r="D212" s="657"/>
      <c r="J212" s="276"/>
      <c r="M212" s="278"/>
      <c r="N212" s="157"/>
      <c r="O212" s="304"/>
      <c r="P212" s="304"/>
    </row>
    <row r="213" spans="3:16" s="159" customFormat="1" x14ac:dyDescent="0.2">
      <c r="C213" s="657"/>
      <c r="D213" s="657"/>
      <c r="J213" s="276"/>
      <c r="M213" s="278"/>
      <c r="N213" s="157"/>
      <c r="O213" s="304"/>
      <c r="P213" s="304"/>
    </row>
    <row r="214" spans="3:16" s="159" customFormat="1" x14ac:dyDescent="0.2">
      <c r="C214" s="657"/>
      <c r="D214" s="657"/>
      <c r="J214" s="276"/>
      <c r="M214" s="278"/>
      <c r="N214" s="157"/>
      <c r="O214" s="304"/>
      <c r="P214" s="304"/>
    </row>
    <row r="215" spans="3:16" s="159" customFormat="1" x14ac:dyDescent="0.2">
      <c r="C215" s="657"/>
      <c r="D215" s="657"/>
      <c r="J215" s="276"/>
      <c r="M215" s="278"/>
      <c r="N215" s="157"/>
      <c r="O215" s="304"/>
      <c r="P215" s="304"/>
    </row>
    <row r="216" spans="3:16" s="159" customFormat="1" x14ac:dyDescent="0.2">
      <c r="C216" s="657"/>
      <c r="D216" s="657"/>
      <c r="J216" s="276"/>
      <c r="M216" s="278"/>
      <c r="N216" s="157"/>
      <c r="O216" s="304"/>
      <c r="P216" s="304"/>
    </row>
    <row r="217" spans="3:16" s="159" customFormat="1" x14ac:dyDescent="0.2">
      <c r="C217" s="657"/>
      <c r="D217" s="657"/>
      <c r="J217" s="276"/>
      <c r="M217" s="278"/>
      <c r="N217" s="157"/>
      <c r="O217" s="304"/>
      <c r="P217" s="304"/>
    </row>
    <row r="218" spans="3:16" s="159" customFormat="1" x14ac:dyDescent="0.2">
      <c r="C218" s="657"/>
      <c r="D218" s="657"/>
      <c r="J218" s="276"/>
      <c r="M218" s="278"/>
      <c r="N218" s="157"/>
      <c r="O218" s="304"/>
      <c r="P218" s="304"/>
    </row>
    <row r="219" spans="3:16" s="159" customFormat="1" x14ac:dyDescent="0.2">
      <c r="C219" s="657"/>
      <c r="D219" s="657"/>
      <c r="J219" s="276"/>
      <c r="M219" s="278"/>
      <c r="N219" s="157"/>
      <c r="O219" s="304"/>
      <c r="P219" s="304"/>
    </row>
    <row r="220" spans="3:16" s="159" customFormat="1" x14ac:dyDescent="0.2">
      <c r="C220" s="657"/>
      <c r="D220" s="657"/>
      <c r="J220" s="276"/>
      <c r="M220" s="278"/>
      <c r="N220" s="157"/>
      <c r="O220" s="304"/>
      <c r="P220" s="304"/>
    </row>
    <row r="221" spans="3:16" s="159" customFormat="1" x14ac:dyDescent="0.2">
      <c r="C221" s="657"/>
      <c r="D221" s="657"/>
      <c r="J221" s="276"/>
      <c r="M221" s="278"/>
      <c r="N221" s="157"/>
      <c r="O221" s="304"/>
      <c r="P221" s="304"/>
    </row>
    <row r="222" spans="3:16" s="159" customFormat="1" x14ac:dyDescent="0.2">
      <c r="C222" s="657"/>
      <c r="D222" s="657"/>
      <c r="J222" s="276"/>
      <c r="M222" s="278"/>
      <c r="N222" s="157"/>
      <c r="O222" s="304"/>
      <c r="P222" s="304"/>
    </row>
    <row r="223" spans="3:16" s="159" customFormat="1" x14ac:dyDescent="0.2">
      <c r="C223" s="657"/>
      <c r="D223" s="657"/>
      <c r="J223" s="276"/>
      <c r="M223" s="278"/>
      <c r="N223" s="157"/>
      <c r="O223" s="304"/>
      <c r="P223" s="304"/>
    </row>
    <row r="224" spans="3:16" s="159" customFormat="1" x14ac:dyDescent="0.2">
      <c r="C224" s="657"/>
      <c r="D224" s="657"/>
      <c r="J224" s="276"/>
      <c r="M224" s="278"/>
      <c r="N224" s="157"/>
      <c r="O224" s="304"/>
      <c r="P224" s="304"/>
    </row>
    <row r="225" spans="3:16" s="159" customFormat="1" x14ac:dyDescent="0.2">
      <c r="C225" s="657"/>
      <c r="D225" s="657"/>
      <c r="J225" s="276"/>
      <c r="M225" s="278"/>
      <c r="N225" s="157"/>
      <c r="O225" s="304"/>
      <c r="P225" s="304"/>
    </row>
    <row r="226" spans="3:16" s="159" customFormat="1" x14ac:dyDescent="0.2">
      <c r="C226" s="657"/>
      <c r="D226" s="657"/>
      <c r="J226" s="276"/>
      <c r="M226" s="278"/>
      <c r="N226" s="157"/>
      <c r="O226" s="304"/>
      <c r="P226" s="304"/>
    </row>
    <row r="227" spans="3:16" s="159" customFormat="1" x14ac:dyDescent="0.2">
      <c r="C227" s="657"/>
      <c r="D227" s="657"/>
      <c r="J227" s="276"/>
      <c r="M227" s="278"/>
      <c r="N227" s="157"/>
      <c r="O227" s="304"/>
      <c r="P227" s="304"/>
    </row>
    <row r="228" spans="3:16" s="159" customFormat="1" x14ac:dyDescent="0.2">
      <c r="C228" s="657"/>
      <c r="D228" s="657"/>
      <c r="J228" s="276"/>
      <c r="M228" s="278"/>
      <c r="N228" s="157"/>
      <c r="O228" s="304"/>
      <c r="P228" s="304"/>
    </row>
    <row r="229" spans="3:16" s="159" customFormat="1" x14ac:dyDescent="0.2">
      <c r="C229" s="657"/>
      <c r="D229" s="657"/>
      <c r="J229" s="276"/>
      <c r="M229" s="278"/>
      <c r="N229" s="157"/>
      <c r="O229" s="304"/>
      <c r="P229" s="304"/>
    </row>
    <row r="230" spans="3:16" s="159" customFormat="1" x14ac:dyDescent="0.2">
      <c r="C230" s="657"/>
      <c r="D230" s="657"/>
      <c r="J230" s="276"/>
      <c r="M230" s="278"/>
      <c r="N230" s="157"/>
      <c r="O230" s="304"/>
      <c r="P230" s="304"/>
    </row>
    <row r="231" spans="3:16" s="159" customFormat="1" x14ac:dyDescent="0.2">
      <c r="C231" s="657"/>
      <c r="D231" s="657"/>
      <c r="J231" s="276"/>
      <c r="M231" s="278"/>
      <c r="N231" s="157"/>
      <c r="O231" s="304"/>
      <c r="P231" s="304"/>
    </row>
    <row r="232" spans="3:16" s="159" customFormat="1" x14ac:dyDescent="0.2">
      <c r="C232" s="657"/>
      <c r="D232" s="657"/>
      <c r="J232" s="276"/>
      <c r="M232" s="278"/>
      <c r="N232" s="157"/>
      <c r="O232" s="304"/>
      <c r="P232" s="304"/>
    </row>
    <row r="233" spans="3:16" s="159" customFormat="1" x14ac:dyDescent="0.2">
      <c r="C233" s="657"/>
      <c r="D233" s="657"/>
      <c r="J233" s="276"/>
      <c r="M233" s="278"/>
      <c r="N233" s="157"/>
      <c r="O233" s="304"/>
      <c r="P233" s="304"/>
    </row>
    <row r="234" spans="3:16" s="159" customFormat="1" x14ac:dyDescent="0.2">
      <c r="C234" s="657"/>
      <c r="D234" s="657"/>
      <c r="J234" s="276"/>
      <c r="M234" s="278"/>
      <c r="N234" s="157"/>
      <c r="O234" s="304"/>
      <c r="P234" s="304"/>
    </row>
    <row r="235" spans="3:16" s="159" customFormat="1" x14ac:dyDescent="0.2">
      <c r="C235" s="657"/>
      <c r="D235" s="657"/>
      <c r="J235" s="276"/>
      <c r="M235" s="278"/>
      <c r="N235" s="157"/>
      <c r="O235" s="304"/>
      <c r="P235" s="304"/>
    </row>
    <row r="236" spans="3:16" s="159" customFormat="1" x14ac:dyDescent="0.2">
      <c r="C236" s="657"/>
      <c r="D236" s="657"/>
      <c r="J236" s="276"/>
      <c r="M236" s="278"/>
      <c r="N236" s="157"/>
      <c r="O236" s="304"/>
      <c r="P236" s="304"/>
    </row>
    <row r="237" spans="3:16" s="159" customFormat="1" x14ac:dyDescent="0.2">
      <c r="C237" s="657"/>
      <c r="D237" s="657"/>
      <c r="J237" s="276"/>
      <c r="M237" s="278"/>
      <c r="N237" s="157"/>
      <c r="O237" s="304"/>
      <c r="P237" s="304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3" fitToHeight="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David Akinrefon</cp:lastModifiedBy>
  <cp:lastPrinted>2025-07-30T19:10:57Z</cp:lastPrinted>
  <dcterms:created xsi:type="dcterms:W3CDTF">1999-04-26T00:27:24Z</dcterms:created>
  <dcterms:modified xsi:type="dcterms:W3CDTF">2026-01-15T19:18:08Z</dcterms:modified>
</cp:coreProperties>
</file>